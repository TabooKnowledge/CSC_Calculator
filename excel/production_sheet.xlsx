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Bryan\Desktop\"/>
    </mc:Choice>
  </mc:AlternateContent>
  <xr:revisionPtr revIDLastSave="0" documentId="8_{95B59175-8C1B-4FCF-B032-F65B155A6BEB}" xr6:coauthVersionLast="47" xr6:coauthVersionMax="47" xr10:uidLastSave="{00000000-0000-0000-0000-000000000000}"/>
  <bookViews>
    <workbookView xWindow="-120" yWindow="-120" windowWidth="19440" windowHeight="15000" firstSheet="1" activeTab="1" xr2:uid="{00000000-000D-0000-FFFF-FFFF00000000}"/>
  </bookViews>
  <sheets>
    <sheet name="Count Sheet " sheetId="11" r:id="rId1"/>
    <sheet name="Production Guide" sheetId="2" r:id="rId2"/>
    <sheet name="2 Prep Cooks" sheetId="3" r:id="rId3"/>
    <sheet name="3 Prep Cooks" sheetId="4" r:id="rId4"/>
    <sheet name="4 Prep Cooks" sheetId="5" r:id="rId5"/>
    <sheet name="5 Prep Cooks " sheetId="10" r:id="rId6"/>
    <sheet name="All Data" sheetId="6" state="hidden" r:id="rId7"/>
    <sheet name="Future" sheetId="8" state="hidden" r:id="rId8"/>
  </sheets>
  <definedNames>
    <definedName name="_xlnm.Print_Area" localSheetId="2">'2 Prep Cooks'!$A$1:$H$42</definedName>
    <definedName name="_xlnm.Print_Area" localSheetId="3">'3 Prep Cooks'!$A$4:$H$43</definedName>
    <definedName name="_xlnm.Print_Area" localSheetId="4">'4 Prep Cooks'!$A$1:$H$42</definedName>
    <definedName name="_xlnm.Print_Area" localSheetId="5">'5 Prep Cooks '!$A$1:$H$43</definedName>
    <definedName name="_xlnm.Print_Area" localSheetId="0">'Count Sheet '!$A$1:$M$33</definedName>
    <definedName name="_xlnm.Print_Area" localSheetId="1">'Production Guide'!$A$1:$T$44</definedName>
  </definedNames>
  <calcPr calcId="18102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X14" i="2" l="1"/>
  <c r="X8" i="2"/>
  <c r="X9" i="2"/>
  <c r="X10" i="2"/>
  <c r="X11" i="2"/>
  <c r="X12" i="2"/>
  <c r="X13" i="2"/>
  <c r="X15" i="2"/>
  <c r="X16" i="2"/>
  <c r="X17" i="2"/>
  <c r="X18" i="2"/>
  <c r="X19" i="2"/>
  <c r="X20" i="2"/>
  <c r="X21" i="2"/>
  <c r="X22" i="2"/>
  <c r="X7" i="2"/>
  <c r="X6" i="2"/>
  <c r="F86" i="6" l="1"/>
  <c r="G86" i="6" s="1"/>
  <c r="H15" i="5" s="1"/>
  <c r="F85" i="6"/>
  <c r="G85" i="6" s="1"/>
  <c r="H14" i="3" s="1"/>
  <c r="F81" i="6"/>
  <c r="F80" i="6"/>
  <c r="F79" i="6"/>
  <c r="F78" i="6"/>
  <c r="F75" i="6"/>
  <c r="F74" i="6"/>
  <c r="F73" i="6"/>
  <c r="F72" i="6"/>
  <c r="G52" i="6"/>
  <c r="H52" i="6" s="1"/>
  <c r="I52" i="6" s="1"/>
  <c r="G53" i="6"/>
  <c r="H53" i="6" s="1"/>
  <c r="I53" i="6" s="1"/>
  <c r="P8" i="2" s="1"/>
  <c r="J53" i="6" s="1"/>
  <c r="R8" i="2" s="1"/>
  <c r="G54" i="6"/>
  <c r="H54" i="6" s="1"/>
  <c r="I54" i="6" s="1"/>
  <c r="G55" i="6"/>
  <c r="G56" i="6"/>
  <c r="H56" i="6" s="1"/>
  <c r="I56" i="6" s="1"/>
  <c r="P11" i="2" s="1"/>
  <c r="J56" i="6" s="1"/>
  <c r="G57" i="6"/>
  <c r="H57" i="6" s="1"/>
  <c r="I57" i="6" s="1"/>
  <c r="P12" i="2" s="1"/>
  <c r="J57" i="6" s="1"/>
  <c r="G58" i="6"/>
  <c r="H58" i="6" s="1"/>
  <c r="I58" i="6" s="1"/>
  <c r="G59" i="6"/>
  <c r="H59" i="6" s="1"/>
  <c r="I59" i="6" s="1"/>
  <c r="P14" i="2" s="1"/>
  <c r="J59" i="6" s="1"/>
  <c r="Q14" i="8" s="1"/>
  <c r="G60" i="6"/>
  <c r="H60" i="6" s="1"/>
  <c r="I60" i="6" s="1"/>
  <c r="G61" i="6"/>
  <c r="H61" i="6" s="1"/>
  <c r="I61" i="6" s="1"/>
  <c r="G62" i="6"/>
  <c r="H62" i="6" s="1"/>
  <c r="I62" i="6" s="1"/>
  <c r="G63" i="6"/>
  <c r="H63" i="6" s="1"/>
  <c r="I63" i="6" s="1"/>
  <c r="G64" i="6"/>
  <c r="H64" i="6" s="1"/>
  <c r="I64" i="6" s="1"/>
  <c r="P19" i="2" s="1"/>
  <c r="J64" i="6" s="1"/>
  <c r="Q19" i="8" s="1"/>
  <c r="G65" i="6"/>
  <c r="H65" i="6" s="1"/>
  <c r="I65" i="6" s="1"/>
  <c r="P20" i="2" s="1"/>
  <c r="J65" i="6" s="1"/>
  <c r="R20" i="2" s="1"/>
  <c r="G66" i="6"/>
  <c r="H66" i="6" s="1"/>
  <c r="I66" i="6" s="1"/>
  <c r="P21" i="2" s="1"/>
  <c r="J66" i="6" s="1"/>
  <c r="R21" i="2" s="1"/>
  <c r="G67" i="6"/>
  <c r="H67" i="6" s="1"/>
  <c r="I67" i="6" s="1"/>
  <c r="P22" i="2" s="1"/>
  <c r="J67" i="6" s="1"/>
  <c r="Q22" i="8" s="1"/>
  <c r="G51" i="6"/>
  <c r="H51" i="6" s="1"/>
  <c r="I51" i="6" s="1"/>
  <c r="P6" i="2" s="1"/>
  <c r="J51" i="6" s="1"/>
  <c r="G31" i="6"/>
  <c r="H31" i="6" s="1"/>
  <c r="I7" i="2" s="1"/>
  <c r="I31" i="6" s="1"/>
  <c r="G32" i="6"/>
  <c r="H32" i="6" s="1"/>
  <c r="I8" i="2" s="1"/>
  <c r="I32" i="6" s="1"/>
  <c r="K8" i="2" s="1"/>
  <c r="B10" i="5" s="1"/>
  <c r="G33" i="6"/>
  <c r="H33" i="6" s="1"/>
  <c r="I9" i="2" s="1"/>
  <c r="I33" i="6" s="1"/>
  <c r="K9" i="8" s="1"/>
  <c r="G34" i="6"/>
  <c r="H34" i="6" s="1"/>
  <c r="I10" i="2" s="1"/>
  <c r="I34" i="6" s="1"/>
  <c r="K10" i="8" s="1"/>
  <c r="G35" i="6"/>
  <c r="H35" i="6" s="1"/>
  <c r="G36" i="6"/>
  <c r="H36" i="6" s="1"/>
  <c r="I12" i="2" s="1"/>
  <c r="I36" i="6" s="1"/>
  <c r="G37" i="6"/>
  <c r="H37" i="6" s="1"/>
  <c r="I13" i="2" s="1"/>
  <c r="I37" i="6" s="1"/>
  <c r="G38" i="6"/>
  <c r="H38" i="6" s="1"/>
  <c r="G39" i="6"/>
  <c r="H39" i="6" s="1"/>
  <c r="I15" i="2" s="1"/>
  <c r="I39" i="6" s="1"/>
  <c r="G40" i="6"/>
  <c r="H40" i="6" s="1"/>
  <c r="I16" i="2" s="1"/>
  <c r="I40" i="6" s="1"/>
  <c r="G41" i="6"/>
  <c r="H41" i="6" s="1"/>
  <c r="I17" i="2" s="1"/>
  <c r="I41" i="6" s="1"/>
  <c r="K17" i="8" s="1"/>
  <c r="G42" i="6"/>
  <c r="H42" i="6" s="1"/>
  <c r="I18" i="2" s="1"/>
  <c r="G43" i="6"/>
  <c r="H43" i="6" s="1"/>
  <c r="I19" i="2" s="1"/>
  <c r="I43" i="6" s="1"/>
  <c r="G44" i="6"/>
  <c r="H44" i="6" s="1"/>
  <c r="I20" i="2" s="1"/>
  <c r="I44" i="6" s="1"/>
  <c r="G45" i="6"/>
  <c r="H45" i="6" s="1"/>
  <c r="I21" i="2" s="1"/>
  <c r="I45" i="6" s="1"/>
  <c r="K21" i="8" s="1"/>
  <c r="G46" i="6"/>
  <c r="H46" i="6" s="1"/>
  <c r="I22" i="2" s="1"/>
  <c r="I46" i="6" s="1"/>
  <c r="G30" i="6"/>
  <c r="H30" i="6" s="1"/>
  <c r="G12" i="6"/>
  <c r="H12" i="6" s="1"/>
  <c r="G13" i="6"/>
  <c r="I13" i="6" s="1"/>
  <c r="C8" i="2" s="1"/>
  <c r="G14" i="6"/>
  <c r="I14" i="6" s="1"/>
  <c r="G15" i="6"/>
  <c r="I15" i="6" s="1"/>
  <c r="G16" i="6"/>
  <c r="I16" i="6" s="1"/>
  <c r="G17" i="6"/>
  <c r="G18" i="6"/>
  <c r="I18" i="6" s="1"/>
  <c r="C13" i="2" s="1"/>
  <c r="J18" i="6" s="1"/>
  <c r="E13" i="2" s="1"/>
  <c r="A22" i="5" s="1"/>
  <c r="G19" i="6"/>
  <c r="I19" i="6" s="1"/>
  <c r="C14" i="2" s="1"/>
  <c r="G20" i="6"/>
  <c r="I20" i="6" s="1"/>
  <c r="C15" i="2" s="1"/>
  <c r="G21" i="6"/>
  <c r="G22" i="6"/>
  <c r="H22" i="6" s="1"/>
  <c r="G23" i="6"/>
  <c r="I23" i="6" s="1"/>
  <c r="C18" i="2" s="1"/>
  <c r="J23" i="6" s="1"/>
  <c r="E18" i="2" s="1"/>
  <c r="A23" i="10" s="1"/>
  <c r="G24" i="6"/>
  <c r="I24" i="6" s="1"/>
  <c r="C19" i="2" s="1"/>
  <c r="G25" i="6"/>
  <c r="G26" i="6"/>
  <c r="I26" i="6" s="1"/>
  <c r="G27" i="6"/>
  <c r="H27" i="6" s="1"/>
  <c r="G11" i="6"/>
  <c r="I11" i="6" s="1"/>
  <c r="C6" i="2" s="1"/>
  <c r="J11" i="6" s="1"/>
  <c r="E6" i="2" s="1"/>
  <c r="A14" i="4" s="1"/>
  <c r="W16" i="8"/>
  <c r="W7" i="8"/>
  <c r="W8" i="8"/>
  <c r="W9" i="8"/>
  <c r="W10" i="8"/>
  <c r="W11" i="8"/>
  <c r="W12" i="8"/>
  <c r="W13" i="8"/>
  <c r="W14" i="8"/>
  <c r="W15" i="8"/>
  <c r="W17" i="8"/>
  <c r="W18" i="8"/>
  <c r="W19" i="8"/>
  <c r="W20" i="8"/>
  <c r="W21" i="8"/>
  <c r="W22" i="8"/>
  <c r="W6" i="8"/>
  <c r="E3" i="10"/>
  <c r="E3" i="3"/>
  <c r="E3" i="4"/>
  <c r="E3" i="5"/>
  <c r="X2" i="8"/>
  <c r="H55" i="6"/>
  <c r="I55" i="6" s="1"/>
  <c r="P9" i="2"/>
  <c r="J54" i="6" s="1"/>
  <c r="O10" i="8" l="1"/>
  <c r="I8" i="8"/>
  <c r="H24" i="6"/>
  <c r="H16" i="6"/>
  <c r="I6" i="8"/>
  <c r="C15" i="8"/>
  <c r="O9" i="8"/>
  <c r="I72" i="6"/>
  <c r="J72" i="6" s="1"/>
  <c r="I26" i="2" s="1"/>
  <c r="K26" i="2" s="1"/>
  <c r="E36" i="5" s="1"/>
  <c r="H19" i="6"/>
  <c r="H18" i="6"/>
  <c r="H23" i="6"/>
  <c r="H20" i="6"/>
  <c r="I74" i="6"/>
  <c r="J74" i="6" s="1"/>
  <c r="I28" i="2" s="1"/>
  <c r="K28" i="2" s="1"/>
  <c r="B10" i="10"/>
  <c r="B10" i="4"/>
  <c r="I75" i="6"/>
  <c r="J75" i="6" s="1"/>
  <c r="AE8" i="8" s="1"/>
  <c r="I73" i="6"/>
  <c r="J73" i="6" s="1"/>
  <c r="AE6" i="8" s="1"/>
  <c r="R11" i="2"/>
  <c r="Q11" i="8"/>
  <c r="P16" i="2"/>
  <c r="J61" i="6" s="1"/>
  <c r="O16" i="8"/>
  <c r="O14" i="8"/>
  <c r="I11" i="2"/>
  <c r="I35" i="6" s="1"/>
  <c r="K11" i="2" s="1"/>
  <c r="I11" i="8"/>
  <c r="I14" i="2"/>
  <c r="I38" i="6" s="1"/>
  <c r="K14" i="8" s="1"/>
  <c r="I14" i="8"/>
  <c r="B10" i="3"/>
  <c r="I22" i="8"/>
  <c r="C9" i="2"/>
  <c r="W9" i="2" s="1"/>
  <c r="Y9" i="2" s="1"/>
  <c r="E15" i="5" s="1"/>
  <c r="C9" i="8"/>
  <c r="C10" i="8"/>
  <c r="C10" i="2"/>
  <c r="J15" i="6" s="1"/>
  <c r="E10" i="2" s="1"/>
  <c r="C21" i="8"/>
  <c r="C21" i="2"/>
  <c r="J26" i="6" s="1"/>
  <c r="E21" i="2" s="1"/>
  <c r="A24" i="3" s="1"/>
  <c r="C11" i="2"/>
  <c r="J16" i="6" s="1"/>
  <c r="E11" i="2" s="1"/>
  <c r="A19" i="3" s="1"/>
  <c r="C11" i="8"/>
  <c r="H15" i="6"/>
  <c r="I27" i="6"/>
  <c r="H14" i="6"/>
  <c r="C8" i="8"/>
  <c r="H26" i="6"/>
  <c r="C18" i="8"/>
  <c r="H13" i="6"/>
  <c r="C19" i="8"/>
  <c r="I22" i="6"/>
  <c r="W19" i="2"/>
  <c r="Y19" i="2" s="1"/>
  <c r="J24" i="6"/>
  <c r="E19" i="2" s="1"/>
  <c r="A16" i="10" s="1"/>
  <c r="K12" i="2"/>
  <c r="B12" i="4" s="1"/>
  <c r="K12" i="8"/>
  <c r="K15" i="2"/>
  <c r="K15" i="8"/>
  <c r="R6" i="2"/>
  <c r="Q6" i="8"/>
  <c r="K10" i="2"/>
  <c r="B15" i="4" s="1"/>
  <c r="A23" i="4"/>
  <c r="J20" i="6"/>
  <c r="E15" i="2" s="1"/>
  <c r="A17" i="3" s="1"/>
  <c r="A21" i="3"/>
  <c r="Q8" i="8"/>
  <c r="K8" i="8"/>
  <c r="Q21" i="8"/>
  <c r="J19" i="6"/>
  <c r="E14" i="2" s="1"/>
  <c r="A25" i="4" s="1"/>
  <c r="I6" i="2"/>
  <c r="I30" i="6" s="1"/>
  <c r="K6" i="8" s="1"/>
  <c r="A24" i="10"/>
  <c r="K17" i="2"/>
  <c r="B12" i="3" s="1"/>
  <c r="P10" i="2"/>
  <c r="J55" i="6" s="1"/>
  <c r="J13" i="6"/>
  <c r="W8" i="2"/>
  <c r="Y8" i="2" s="1"/>
  <c r="E10" i="3" s="1"/>
  <c r="H14" i="5"/>
  <c r="I9" i="8"/>
  <c r="I10" i="8"/>
  <c r="R14" i="2"/>
  <c r="A23" i="3"/>
  <c r="K22" i="2"/>
  <c r="K22" i="8"/>
  <c r="K20" i="2"/>
  <c r="K20" i="8"/>
  <c r="P17" i="2"/>
  <c r="J62" i="6" s="1"/>
  <c r="O17" i="8"/>
  <c r="K7" i="8"/>
  <c r="K7" i="2"/>
  <c r="K16" i="8"/>
  <c r="K16" i="2"/>
  <c r="R9" i="2"/>
  <c r="Q9" i="8"/>
  <c r="I19" i="8"/>
  <c r="O12" i="8"/>
  <c r="I7" i="8"/>
  <c r="K19" i="2"/>
  <c r="A25" i="5"/>
  <c r="K19" i="8"/>
  <c r="I42" i="6"/>
  <c r="O20" i="8"/>
  <c r="I25" i="6"/>
  <c r="H25" i="6"/>
  <c r="H17" i="6"/>
  <c r="I17" i="6"/>
  <c r="R12" i="2"/>
  <c r="Q12" i="8"/>
  <c r="K21" i="2"/>
  <c r="K13" i="8"/>
  <c r="K13" i="2"/>
  <c r="A21" i="10"/>
  <c r="E13" i="8"/>
  <c r="A21" i="5"/>
  <c r="R22" i="2"/>
  <c r="A18" i="3"/>
  <c r="R19" i="2"/>
  <c r="Q20" i="8"/>
  <c r="K9" i="2"/>
  <c r="H11" i="6"/>
  <c r="O21" i="8"/>
  <c r="I37" i="2"/>
  <c r="H14" i="4"/>
  <c r="H14" i="10"/>
  <c r="A22" i="4"/>
  <c r="O15" i="8"/>
  <c r="P15" i="2"/>
  <c r="J60" i="6" s="1"/>
  <c r="I12" i="6"/>
  <c r="I21" i="6"/>
  <c r="H21" i="6"/>
  <c r="I38" i="2"/>
  <c r="H15" i="4"/>
  <c r="H15" i="10"/>
  <c r="H15" i="3"/>
  <c r="O19" i="8"/>
  <c r="O22" i="8"/>
  <c r="I13" i="8"/>
  <c r="I17" i="8"/>
  <c r="I12" i="8"/>
  <c r="I21" i="8"/>
  <c r="I18" i="8"/>
  <c r="O6" i="8"/>
  <c r="C13" i="8"/>
  <c r="I15" i="8"/>
  <c r="C14" i="8"/>
  <c r="O8" i="8"/>
  <c r="I20" i="8"/>
  <c r="C6" i="8"/>
  <c r="O11" i="8"/>
  <c r="I16" i="8"/>
  <c r="AE7" i="8" l="1"/>
  <c r="I26" i="8"/>
  <c r="I33" i="2" s="1"/>
  <c r="E36" i="4"/>
  <c r="E36" i="10"/>
  <c r="V9" i="8"/>
  <c r="X9" i="8" s="1"/>
  <c r="I28" i="8"/>
  <c r="I34" i="2" s="1"/>
  <c r="K11" i="8"/>
  <c r="E36" i="3"/>
  <c r="AE5" i="8"/>
  <c r="H7" i="5" s="1"/>
  <c r="E15" i="8"/>
  <c r="A19" i="4"/>
  <c r="W21" i="2"/>
  <c r="Y21" i="2" s="1"/>
  <c r="E19" i="5" s="1"/>
  <c r="E19" i="8"/>
  <c r="E21" i="8"/>
  <c r="A26" i="10"/>
  <c r="W14" i="2"/>
  <c r="Y14" i="2" s="1"/>
  <c r="E26" i="10" s="1"/>
  <c r="F25" i="10" s="1"/>
  <c r="E11" i="8"/>
  <c r="K14" i="2"/>
  <c r="B26" i="10" s="1"/>
  <c r="E14" i="8"/>
  <c r="B13" i="3"/>
  <c r="A17" i="4"/>
  <c r="W11" i="2"/>
  <c r="Y11" i="2" s="1"/>
  <c r="E17" i="4" s="1"/>
  <c r="B12" i="5"/>
  <c r="J14" i="6"/>
  <c r="E9" i="8" s="1"/>
  <c r="B15" i="10"/>
  <c r="I27" i="8"/>
  <c r="I29" i="8"/>
  <c r="I29" i="2"/>
  <c r="K29" i="2" s="1"/>
  <c r="E39" i="3" s="1"/>
  <c r="I27" i="2"/>
  <c r="K27" i="2" s="1"/>
  <c r="E37" i="3" s="1"/>
  <c r="V14" i="8"/>
  <c r="X14" i="8" s="1"/>
  <c r="V10" i="8"/>
  <c r="X10" i="8" s="1"/>
  <c r="V19" i="8"/>
  <c r="X19" i="8" s="1"/>
  <c r="V21" i="8"/>
  <c r="X21" i="8" s="1"/>
  <c r="R16" i="2"/>
  <c r="Q16" i="8"/>
  <c r="E10" i="4"/>
  <c r="B12" i="10"/>
  <c r="B11" i="4"/>
  <c r="E11" i="3"/>
  <c r="B14" i="5"/>
  <c r="E11" i="10"/>
  <c r="B14" i="10"/>
  <c r="W6" i="2"/>
  <c r="Y6" i="2" s="1"/>
  <c r="E25" i="5" s="1"/>
  <c r="B15" i="3"/>
  <c r="E16" i="4"/>
  <c r="B11" i="5"/>
  <c r="K6" i="2"/>
  <c r="B21" i="10" s="1"/>
  <c r="C22" i="2"/>
  <c r="C22" i="8"/>
  <c r="V22" i="8" s="1"/>
  <c r="X22" i="8" s="1"/>
  <c r="E10" i="8"/>
  <c r="C17" i="8"/>
  <c r="V17" i="8" s="1"/>
  <c r="X17" i="8" s="1"/>
  <c r="C17" i="2"/>
  <c r="J22" i="6" s="1"/>
  <c r="E17" i="8" s="1"/>
  <c r="A16" i="5"/>
  <c r="V11" i="8"/>
  <c r="X11" i="8" s="1"/>
  <c r="V8" i="8"/>
  <c r="X8" i="8" s="1"/>
  <c r="A22" i="10"/>
  <c r="E10" i="10"/>
  <c r="E10" i="5"/>
  <c r="W10" i="2"/>
  <c r="Y10" i="2" s="1"/>
  <c r="E15" i="4" s="1"/>
  <c r="E32" i="4" s="1"/>
  <c r="A24" i="5"/>
  <c r="E8" i="2"/>
  <c r="E8" i="8"/>
  <c r="A22" i="3"/>
  <c r="E6" i="8"/>
  <c r="R10" i="2"/>
  <c r="Q10" i="8"/>
  <c r="A15" i="3"/>
  <c r="A14" i="5"/>
  <c r="A14" i="10"/>
  <c r="A15" i="4"/>
  <c r="W15" i="2"/>
  <c r="Y15" i="2" s="1"/>
  <c r="E20" i="10" s="1"/>
  <c r="B19" i="4"/>
  <c r="B18" i="5"/>
  <c r="B17" i="3"/>
  <c r="B20" i="10"/>
  <c r="A17" i="10"/>
  <c r="A19" i="5"/>
  <c r="A20" i="4"/>
  <c r="A20" i="10"/>
  <c r="A18" i="5"/>
  <c r="E38" i="3"/>
  <c r="E38" i="4"/>
  <c r="E38" i="10"/>
  <c r="A13" i="5"/>
  <c r="A14" i="3"/>
  <c r="A13" i="4"/>
  <c r="V15" i="8"/>
  <c r="X15" i="8" s="1"/>
  <c r="E38" i="5"/>
  <c r="AF8" i="8"/>
  <c r="H10" i="3"/>
  <c r="H10" i="5"/>
  <c r="H10" i="4"/>
  <c r="H10" i="10"/>
  <c r="H9" i="10"/>
  <c r="AE9" i="8"/>
  <c r="AF9" i="8" s="1"/>
  <c r="AF7" i="8"/>
  <c r="H9" i="5"/>
  <c r="H9" i="3"/>
  <c r="H9" i="4"/>
  <c r="B15" i="5"/>
  <c r="B11" i="3"/>
  <c r="B11" i="10"/>
  <c r="B16" i="4"/>
  <c r="B23" i="4"/>
  <c r="B22" i="5"/>
  <c r="B24" i="10"/>
  <c r="B21" i="3"/>
  <c r="C12" i="2"/>
  <c r="W12" i="2" s="1"/>
  <c r="Y12" i="2" s="1"/>
  <c r="C12" i="8"/>
  <c r="V12" i="8" s="1"/>
  <c r="X12" i="8" s="1"/>
  <c r="B25" i="3"/>
  <c r="B18" i="10"/>
  <c r="B20" i="5"/>
  <c r="B21" i="4"/>
  <c r="B26" i="4"/>
  <c r="B13" i="10"/>
  <c r="B26" i="3"/>
  <c r="B26" i="5"/>
  <c r="B25" i="10"/>
  <c r="B23" i="5"/>
  <c r="B24" i="4"/>
  <c r="B20" i="3"/>
  <c r="B16" i="3"/>
  <c r="B19" i="10"/>
  <c r="B18" i="4"/>
  <c r="B17" i="5"/>
  <c r="E13" i="5"/>
  <c r="E16" i="10"/>
  <c r="E13" i="4"/>
  <c r="E14" i="3"/>
  <c r="H8" i="4"/>
  <c r="AF6" i="8"/>
  <c r="H8" i="3"/>
  <c r="H8" i="5"/>
  <c r="H8" i="10"/>
  <c r="C20" i="2"/>
  <c r="W20" i="2" s="1"/>
  <c r="Y20" i="2" s="1"/>
  <c r="C20" i="8"/>
  <c r="V20" i="8" s="1"/>
  <c r="X20" i="8" s="1"/>
  <c r="C16" i="2"/>
  <c r="W16" i="2" s="1"/>
  <c r="Y16" i="2" s="1"/>
  <c r="C16" i="8"/>
  <c r="V16" i="8" s="1"/>
  <c r="X16" i="8" s="1"/>
  <c r="B17" i="10"/>
  <c r="B19" i="5"/>
  <c r="B20" i="4"/>
  <c r="B24" i="3"/>
  <c r="C7" i="8"/>
  <c r="C7" i="2"/>
  <c r="R15" i="2"/>
  <c r="Q15" i="8"/>
  <c r="B16" i="5"/>
  <c r="B19" i="3"/>
  <c r="B17" i="4"/>
  <c r="B22" i="10"/>
  <c r="V6" i="8"/>
  <c r="X6" i="8" s="1"/>
  <c r="K18" i="2"/>
  <c r="E18" i="8"/>
  <c r="K18" i="8"/>
  <c r="B13" i="4"/>
  <c r="B13" i="5"/>
  <c r="B14" i="3"/>
  <c r="B16" i="10"/>
  <c r="Q17" i="8"/>
  <c r="R17" i="2"/>
  <c r="H7" i="10" l="1"/>
  <c r="H7" i="4"/>
  <c r="H7" i="3"/>
  <c r="AF5" i="8"/>
  <c r="B25" i="4"/>
  <c r="B23" i="3"/>
  <c r="B24" i="5"/>
  <c r="E9" i="2"/>
  <c r="A15" i="5" s="1"/>
  <c r="E24" i="3"/>
  <c r="B25" i="5"/>
  <c r="B14" i="4"/>
  <c r="E17" i="10"/>
  <c r="E20" i="4"/>
  <c r="E37" i="5"/>
  <c r="E25" i="4"/>
  <c r="F22" i="4" s="1"/>
  <c r="E24" i="5"/>
  <c r="F21" i="5" s="1"/>
  <c r="K48" i="2"/>
  <c r="P18" i="2" s="1"/>
  <c r="W18" i="2" s="1"/>
  <c r="Y18" i="2" s="1"/>
  <c r="F24" i="10"/>
  <c r="E22" i="3"/>
  <c r="F20" i="3" s="1"/>
  <c r="E37" i="10"/>
  <c r="E39" i="10"/>
  <c r="F23" i="10"/>
  <c r="B22" i="3"/>
  <c r="E16" i="5"/>
  <c r="E22" i="10"/>
  <c r="E19" i="3"/>
  <c r="E37" i="4"/>
  <c r="E39" i="5"/>
  <c r="E39" i="4"/>
  <c r="E15" i="3"/>
  <c r="E32" i="3" s="1"/>
  <c r="E14" i="10"/>
  <c r="E32" i="10" s="1"/>
  <c r="W17" i="2"/>
  <c r="Y17" i="2" s="1"/>
  <c r="E12" i="10" s="1"/>
  <c r="E31" i="10" s="1"/>
  <c r="E17" i="2"/>
  <c r="A12" i="10" s="1"/>
  <c r="E23" i="3"/>
  <c r="E21" i="10"/>
  <c r="E14" i="4"/>
  <c r="E17" i="3"/>
  <c r="E18" i="5"/>
  <c r="W22" i="2"/>
  <c r="Y22" i="2" s="1"/>
  <c r="J27" i="6"/>
  <c r="A10" i="5"/>
  <c r="A10" i="3"/>
  <c r="A10" i="4"/>
  <c r="A10" i="10"/>
  <c r="E14" i="5"/>
  <c r="E32" i="5" s="1"/>
  <c r="E19" i="4"/>
  <c r="H11" i="4"/>
  <c r="H11" i="5"/>
  <c r="H11" i="3"/>
  <c r="H11" i="10"/>
  <c r="J25" i="6"/>
  <c r="J17" i="6"/>
  <c r="B23" i="10"/>
  <c r="B18" i="3"/>
  <c r="B22" i="4"/>
  <c r="B21" i="5"/>
  <c r="J12" i="6"/>
  <c r="J21" i="6"/>
  <c r="A11" i="10" l="1"/>
  <c r="A16" i="4"/>
  <c r="A11" i="3"/>
  <c r="F24" i="4"/>
  <c r="F23" i="4"/>
  <c r="F23" i="5"/>
  <c r="F18" i="3"/>
  <c r="F22" i="5"/>
  <c r="F21" i="3"/>
  <c r="J63" i="6"/>
  <c r="R18" i="2" s="1"/>
  <c r="P7" i="2"/>
  <c r="W7" i="2" s="1"/>
  <c r="Y7" i="2" s="1"/>
  <c r="E23" i="5" s="1"/>
  <c r="E11" i="4"/>
  <c r="E31" i="4" s="1"/>
  <c r="AA13" i="8"/>
  <c r="O7" i="8" s="1"/>
  <c r="V7" i="8" s="1"/>
  <c r="X7" i="8" s="1"/>
  <c r="P13" i="2"/>
  <c r="W13" i="2" s="1"/>
  <c r="Y13" i="2" s="1"/>
  <c r="E24" i="10" s="1"/>
  <c r="A11" i="4"/>
  <c r="A12" i="3"/>
  <c r="A11" i="5"/>
  <c r="E12" i="3"/>
  <c r="E31" i="3" s="1"/>
  <c r="E11" i="5"/>
  <c r="E31" i="5" s="1"/>
  <c r="E20" i="5"/>
  <c r="E25" i="3"/>
  <c r="E21" i="4"/>
  <c r="E18" i="10"/>
  <c r="E22" i="2"/>
  <c r="E22" i="8"/>
  <c r="E16" i="2"/>
  <c r="E16" i="8"/>
  <c r="E12" i="2"/>
  <c r="E12" i="8"/>
  <c r="E23" i="10"/>
  <c r="E18" i="3"/>
  <c r="E21" i="5"/>
  <c r="E22" i="4"/>
  <c r="E7" i="2"/>
  <c r="E7" i="8"/>
  <c r="E20" i="2"/>
  <c r="E20" i="8"/>
  <c r="E17" i="5"/>
  <c r="E16" i="3"/>
  <c r="E19" i="10"/>
  <c r="E18" i="4"/>
  <c r="E26" i="3"/>
  <c r="E13" i="10"/>
  <c r="E26" i="4"/>
  <c r="E26" i="5"/>
  <c r="E12" i="5"/>
  <c r="E15" i="10"/>
  <c r="E12" i="4"/>
  <c r="E13" i="3"/>
  <c r="Q18" i="8" l="1"/>
  <c r="J58" i="6"/>
  <c r="R13" i="2" s="1"/>
  <c r="E22" i="5"/>
  <c r="E27" i="5" s="1"/>
  <c r="E24" i="4"/>
  <c r="E20" i="3"/>
  <c r="E23" i="4"/>
  <c r="E25" i="10"/>
  <c r="E27" i="10" s="1"/>
  <c r="O18" i="8"/>
  <c r="V18" i="8" s="1"/>
  <c r="X18" i="8" s="1"/>
  <c r="J52" i="6"/>
  <c r="R7" i="2" s="1"/>
  <c r="O13" i="8"/>
  <c r="V13" i="8" s="1"/>
  <c r="X13" i="8" s="1"/>
  <c r="E21" i="3"/>
  <c r="A21" i="4"/>
  <c r="A18" i="10"/>
  <c r="A25" i="3"/>
  <c r="A20" i="5"/>
  <c r="E33" i="4"/>
  <c r="E33" i="5"/>
  <c r="E34" i="5"/>
  <c r="E30" i="5"/>
  <c r="A26" i="4"/>
  <c r="A13" i="10"/>
  <c r="A26" i="3"/>
  <c r="A26" i="5"/>
  <c r="A18" i="4"/>
  <c r="A17" i="5"/>
  <c r="A19" i="10"/>
  <c r="A16" i="3"/>
  <c r="E30" i="10"/>
  <c r="E34" i="10"/>
  <c r="A12" i="4"/>
  <c r="A15" i="10"/>
  <c r="A12" i="5"/>
  <c r="A13" i="3"/>
  <c r="A24" i="4"/>
  <c r="A20" i="3"/>
  <c r="A23" i="5"/>
  <c r="A25" i="10"/>
  <c r="E34" i="3"/>
  <c r="E30" i="3"/>
  <c r="E33" i="3"/>
  <c r="E34" i="4"/>
  <c r="E30" i="4"/>
  <c r="E33" i="10"/>
  <c r="Q13" i="8" l="1"/>
  <c r="E27" i="3"/>
  <c r="E27" i="4"/>
  <c r="Q7" i="8"/>
  <c r="W24" i="8"/>
  <c r="G36" i="3" s="1"/>
  <c r="G35" i="10" l="1"/>
  <c r="G35" i="4"/>
  <c r="G35" i="5"/>
</calcChain>
</file>

<file path=xl/sharedStrings.xml><?xml version="1.0" encoding="utf-8"?>
<sst xmlns="http://schemas.openxmlformats.org/spreadsheetml/2006/main" count="893" uniqueCount="198">
  <si>
    <t>Count Sheet</t>
  </si>
  <si>
    <t>Quick Chick</t>
  </si>
  <si>
    <t>Line</t>
  </si>
  <si>
    <t>Waste</t>
  </si>
  <si>
    <t>Flavor</t>
  </si>
  <si>
    <t>SM</t>
  </si>
  <si>
    <t>LG</t>
  </si>
  <si>
    <t>Barbie Q</t>
  </si>
  <si>
    <t>BBQ</t>
  </si>
  <si>
    <t>Buffalo Barclay</t>
  </si>
  <si>
    <t xml:space="preserve">BB </t>
  </si>
  <si>
    <t>Classic Carol</t>
  </si>
  <si>
    <t>CC</t>
  </si>
  <si>
    <t>Cranberry Kelli</t>
  </si>
  <si>
    <t>CK</t>
  </si>
  <si>
    <t>Dixie Chick</t>
  </si>
  <si>
    <t>DC</t>
  </si>
  <si>
    <t>Fancy Nancy</t>
  </si>
  <si>
    <t>FN</t>
  </si>
  <si>
    <t>Fruity Fran</t>
  </si>
  <si>
    <t>FF</t>
  </si>
  <si>
    <t>Jalapeño Holly</t>
  </si>
  <si>
    <t>JH</t>
  </si>
  <si>
    <t>Kickin Kay Lynne</t>
  </si>
  <si>
    <t>KKL</t>
  </si>
  <si>
    <t>Lauryn's L. Basil</t>
  </si>
  <si>
    <t>LLB</t>
  </si>
  <si>
    <t>Local Flavor</t>
  </si>
  <si>
    <t>LOCAL</t>
  </si>
  <si>
    <t>Olivia's Old South</t>
  </si>
  <si>
    <t>OOS</t>
  </si>
  <si>
    <t>Sassy Scotty</t>
  </si>
  <si>
    <t>SS</t>
  </si>
  <si>
    <t>LTO</t>
  </si>
  <si>
    <t>Egg Salad</t>
  </si>
  <si>
    <t>EGG SAL</t>
  </si>
  <si>
    <t>Pimento Cheese</t>
  </si>
  <si>
    <t>PC</t>
  </si>
  <si>
    <t>Spicy P. Cheese</t>
  </si>
  <si>
    <t>SPC</t>
  </si>
  <si>
    <t>Broccoli Salad</t>
  </si>
  <si>
    <t>BROC SAL.</t>
  </si>
  <si>
    <t>Fresh Fruit</t>
  </si>
  <si>
    <t>FRES. FRUIT</t>
  </si>
  <si>
    <t>Grape Salad</t>
  </si>
  <si>
    <t>GRAPE SAL.</t>
  </si>
  <si>
    <t>Pasta Salad</t>
  </si>
  <si>
    <t>PAST. SAL.</t>
  </si>
  <si>
    <t xml:space="preserve">Count all chicken salad Quick Chicks by container.  Count Side Items by the 1/2 pan. </t>
  </si>
  <si>
    <t>Count mixed flavors in the line coolers, reach-ins, and walk-in by the pound. Count side items by the 1/2 pan.</t>
  </si>
  <si>
    <t>Count all waste in pounds.</t>
  </si>
  <si>
    <t>Next Day's Sales Forecast</t>
  </si>
  <si>
    <t>Day After Tomorrow's Sales Forecast</t>
  </si>
  <si>
    <t>Small Quick Chick</t>
  </si>
  <si>
    <t>Large Quick Chick</t>
  </si>
  <si>
    <r>
      <rPr>
        <sz val="12"/>
        <color theme="1"/>
        <rFont val="Lifehack"/>
        <family val="3"/>
      </rPr>
      <t>Line</t>
    </r>
    <r>
      <rPr>
        <sz val="10"/>
        <color theme="1"/>
        <rFont val="Lifehack"/>
        <family val="3"/>
      </rPr>
      <t xml:space="preserve">- </t>
    </r>
    <r>
      <rPr>
        <sz val="9"/>
        <color theme="1"/>
        <rFont val="Gotham "/>
      </rPr>
      <t>(Any mixed flavors not in Quick Chick)</t>
    </r>
  </si>
  <si>
    <t>Totals</t>
  </si>
  <si>
    <t>Par</t>
  </si>
  <si>
    <t>On Hand</t>
  </si>
  <si>
    <t>QC's to Prep</t>
  </si>
  <si>
    <t>#s to Prep</t>
  </si>
  <si>
    <t>Tomorrow's Catering #'s</t>
  </si>
  <si>
    <t>Side Item</t>
  </si>
  <si>
    <t>Broccoli salad yields (2) 1/2 pans.  Pasta Salad yields (3) 1/2 pans.</t>
  </si>
  <si>
    <t>Produce Item</t>
  </si>
  <si>
    <t>Broccoli Lexans</t>
  </si>
  <si>
    <t>Dried Grape Lexans</t>
  </si>
  <si>
    <t>Salads</t>
  </si>
  <si>
    <t>Classic Salads</t>
  </si>
  <si>
    <t>Seasonal Salads</t>
  </si>
  <si>
    <t>Date:</t>
  </si>
  <si>
    <t>Today's Forecast:</t>
  </si>
  <si>
    <t>Daily Production List</t>
  </si>
  <si>
    <t>Item</t>
  </si>
  <si>
    <t>Prep</t>
  </si>
  <si>
    <t>Broccoli Lexis</t>
  </si>
  <si>
    <t>Wet Grape Lexis</t>
  </si>
  <si>
    <t>Cook</t>
  </si>
  <si>
    <t>#'s to Prep</t>
  </si>
  <si>
    <t>Dry Grape Lexis</t>
  </si>
  <si>
    <t>C1</t>
  </si>
  <si>
    <t>Pasta Salad Batches</t>
  </si>
  <si>
    <t>Grape Salad Dressing</t>
  </si>
  <si>
    <t>Lauryn's Lemon Basil</t>
  </si>
  <si>
    <t>C2</t>
  </si>
  <si>
    <t>Spicy Pimento Cheese</t>
  </si>
  <si>
    <t xml:space="preserve">Egg Salad </t>
  </si>
  <si>
    <t>Total Mixed Flavors</t>
  </si>
  <si>
    <t>Ingredient</t>
  </si>
  <si>
    <t>Cups to Prep</t>
  </si>
  <si>
    <t>Salad Item Prep</t>
  </si>
  <si>
    <t>Apples</t>
  </si>
  <si>
    <t>Salad Mix</t>
  </si>
  <si>
    <t>Eggs</t>
  </si>
  <si>
    <t>Strawberries</t>
  </si>
  <si>
    <t>Onions</t>
  </si>
  <si>
    <t>Unpeeled Apples</t>
  </si>
  <si>
    <t>Bacon</t>
  </si>
  <si>
    <t>Cucumbers</t>
  </si>
  <si>
    <t>Pineapple</t>
  </si>
  <si>
    <t>Side</t>
  </si>
  <si>
    <t>1/2 Pans</t>
  </si>
  <si>
    <t>Classic Carol for Tomorrow</t>
  </si>
  <si>
    <r>
      <rPr>
        <u/>
        <sz val="9"/>
        <color theme="1"/>
        <rFont val="Calibri"/>
        <family val="2"/>
        <scheme val="minor"/>
      </rPr>
      <t>C1</t>
    </r>
    <r>
      <rPr>
        <sz val="9"/>
        <color theme="1"/>
        <rFont val="Calibri"/>
        <family val="2"/>
        <scheme val="minor"/>
      </rPr>
      <t>- seasonal salad ingred, strawberries for fresh fruit &amp; pasta salad</t>
    </r>
  </si>
  <si>
    <t>Broccoli salad yields (2) 1/2 pans.                                              Pasta Salad yields (3) 1/2 pans.</t>
  </si>
  <si>
    <r>
      <rPr>
        <u/>
        <sz val="9"/>
        <color theme="1"/>
        <rFont val="Calibri"/>
        <family val="2"/>
        <scheme val="minor"/>
      </rPr>
      <t>C2 &amp; C3</t>
    </r>
    <r>
      <rPr>
        <sz val="9"/>
        <color theme="1"/>
        <rFont val="Calibri"/>
        <family val="2"/>
        <scheme val="minor"/>
      </rPr>
      <t>- sinks, sanitizer bucket, sanitize work stations, bowls &amp; lids</t>
    </r>
  </si>
  <si>
    <t>Sandwich line will quick chick the flavors highlighted.</t>
  </si>
  <si>
    <r>
      <rPr>
        <u/>
        <sz val="9"/>
        <color theme="1"/>
        <rFont val="Calibri"/>
        <family val="2"/>
        <scheme val="minor"/>
      </rPr>
      <t>C4</t>
    </r>
    <r>
      <rPr>
        <sz val="9"/>
        <color theme="1"/>
        <rFont val="Calibri"/>
        <family val="2"/>
        <scheme val="minor"/>
      </rPr>
      <t>- Temperature logs</t>
    </r>
  </si>
  <si>
    <t>QC</t>
  </si>
  <si>
    <t>C3</t>
  </si>
  <si>
    <t>C4</t>
  </si>
  <si>
    <t>C5</t>
  </si>
  <si>
    <t>Pineapples</t>
  </si>
  <si>
    <t>Sales</t>
  </si>
  <si>
    <t>Directions:</t>
  </si>
  <si>
    <t>Quick Chicks of Chicken Salad</t>
  </si>
  <si>
    <t>Fill in the peach colored fields.</t>
  </si>
  <si>
    <t>*Make sure you enter the item sales numbers for the same total sales number that you enter in the top box.</t>
  </si>
  <si>
    <t>Small Bowls</t>
  </si>
  <si>
    <t>#'s Sold</t>
  </si>
  <si>
    <t>Total #'s</t>
  </si>
  <si>
    <t>Usage/100</t>
  </si>
  <si>
    <t>Prep Amt</t>
  </si>
  <si>
    <t>**Example- Don't enter item sales for one day, but put the total sales of the week.</t>
  </si>
  <si>
    <t>***See CSCU if you need more direction!</t>
  </si>
  <si>
    <t>BB</t>
  </si>
  <si>
    <t>EGG SALAD</t>
  </si>
  <si>
    <t>SPICY PC</t>
  </si>
  <si>
    <t>Large Bowls</t>
  </si>
  <si>
    <t>Scoops + Sandwiches</t>
  </si>
  <si>
    <t>Scoop + Sandwich</t>
  </si>
  <si>
    <t>Total sc</t>
  </si>
  <si>
    <t>Side Items</t>
  </si>
  <si>
    <t xml:space="preserve">Side </t>
  </si>
  <si>
    <t>Pounds</t>
  </si>
  <si>
    <t>Total</t>
  </si>
  <si>
    <t>Usg/100</t>
  </si>
  <si>
    <t>#per1/2pan</t>
  </si>
  <si>
    <t>BS</t>
  </si>
  <si>
    <t>GS</t>
  </si>
  <si>
    <t>PS</t>
  </si>
  <si>
    <t>Large Bowl</t>
  </si>
  <si>
    <t>Salads (Lettuce Based)</t>
  </si>
  <si>
    <t>Classic Salad</t>
  </si>
  <si>
    <t>Seasonal Salad</t>
  </si>
  <si>
    <t>Side Conversions</t>
  </si>
  <si>
    <t>Broccoli Salad = 5 servings = 1 Lg Qc</t>
  </si>
  <si>
    <t>Fresh Fruit = 3 servings = 1 Lg Qc</t>
  </si>
  <si>
    <t>Grape Salad = 2.5 servings = 1 Lg Qc</t>
  </si>
  <si>
    <t>Pasta Salad = 3 servings = 1 Lg Qc</t>
  </si>
  <si>
    <t>Wet Grapes</t>
  </si>
  <si>
    <t>Dry Grapes</t>
  </si>
  <si>
    <t>GS Dressing</t>
  </si>
  <si>
    <t>Total Classic Carol</t>
  </si>
  <si>
    <t>Sides</t>
  </si>
  <si>
    <r>
      <rPr>
        <b/>
        <sz val="11"/>
        <color theme="1"/>
        <rFont val="Calibri"/>
        <family val="2"/>
        <scheme val="minor"/>
      </rPr>
      <t>Daily Par</t>
    </r>
    <r>
      <rPr>
        <sz val="11"/>
        <color theme="1"/>
        <rFont val="Calibri"/>
        <family val="2"/>
        <scheme val="minor"/>
      </rPr>
      <t xml:space="preserve"> (in 1/2 pans)</t>
    </r>
  </si>
  <si>
    <r>
      <t>Proj. Sales</t>
    </r>
    <r>
      <rPr>
        <sz val="14"/>
        <rFont val="Arial"/>
        <family val="2"/>
      </rPr>
      <t> </t>
    </r>
  </si>
  <si>
    <r>
      <t>Cut Broccoli Lexis</t>
    </r>
    <r>
      <rPr>
        <sz val="14"/>
        <rFont val="Arial"/>
        <family val="2"/>
      </rPr>
      <t> </t>
    </r>
  </si>
  <si>
    <r>
      <t>Dry </t>
    </r>
    <r>
      <rPr>
        <sz val="14"/>
        <rFont val="Arial"/>
        <family val="2"/>
      </rPr>
      <t> </t>
    </r>
  </si>
  <si>
    <r>
      <t>Wet </t>
    </r>
    <r>
      <rPr>
        <sz val="14"/>
        <rFont val="Arial"/>
        <family val="2"/>
      </rPr>
      <t> </t>
    </r>
  </si>
  <si>
    <r>
      <t>Batches of GrapeSaladDressing</t>
    </r>
    <r>
      <rPr>
        <sz val="14"/>
        <rFont val="Arial"/>
        <family val="2"/>
      </rPr>
      <t> </t>
    </r>
  </si>
  <si>
    <r>
      <t>Pimento Cheese Batches</t>
    </r>
    <r>
      <rPr>
        <sz val="14"/>
        <rFont val="Arial"/>
        <family val="2"/>
      </rPr>
      <t> </t>
    </r>
  </si>
  <si>
    <r>
      <t>Pasta</t>
    </r>
    <r>
      <rPr>
        <sz val="14"/>
        <rFont val="Arial"/>
        <family val="2"/>
      </rPr>
      <t> </t>
    </r>
  </si>
  <si>
    <r>
      <t>Grape </t>
    </r>
    <r>
      <rPr>
        <sz val="14"/>
        <rFont val="Arial"/>
        <family val="2"/>
      </rPr>
      <t> </t>
    </r>
  </si>
  <si>
    <r>
      <t>Grape* </t>
    </r>
    <r>
      <rPr>
        <sz val="14"/>
        <rFont val="Arial"/>
        <family val="2"/>
      </rPr>
      <t> </t>
    </r>
  </si>
  <si>
    <r>
      <t>Salad Batches</t>
    </r>
    <r>
      <rPr>
        <sz val="14"/>
        <rFont val="Arial"/>
        <family val="2"/>
      </rPr>
      <t> </t>
    </r>
  </si>
  <si>
    <r>
      <t>Lexis</t>
    </r>
    <r>
      <rPr>
        <sz val="14"/>
        <rFont val="Arial"/>
        <family val="2"/>
      </rPr>
      <t> </t>
    </r>
  </si>
  <si>
    <r>
      <t>2000</t>
    </r>
    <r>
      <rPr>
        <sz val="14"/>
        <rFont val="Arial"/>
        <family val="2"/>
      </rPr>
      <t> </t>
    </r>
  </si>
  <si>
    <r>
      <t>2</t>
    </r>
    <r>
      <rPr>
        <sz val="14"/>
        <rFont val="Arial"/>
        <family val="2"/>
      </rPr>
      <t> </t>
    </r>
  </si>
  <si>
    <r>
      <t>1</t>
    </r>
    <r>
      <rPr>
        <sz val="14"/>
        <rFont val="Arial"/>
        <family val="2"/>
      </rPr>
      <t> </t>
    </r>
  </si>
  <si>
    <r>
      <t>.75</t>
    </r>
    <r>
      <rPr>
        <sz val="14"/>
        <rFont val="Arial"/>
        <family val="2"/>
      </rPr>
      <t> </t>
    </r>
  </si>
  <si>
    <r>
      <t>3000</t>
    </r>
    <r>
      <rPr>
        <sz val="14"/>
        <rFont val="Arial"/>
        <family val="2"/>
      </rPr>
      <t> </t>
    </r>
  </si>
  <si>
    <r>
      <t>4000</t>
    </r>
    <r>
      <rPr>
        <sz val="14"/>
        <rFont val="Arial"/>
        <family val="2"/>
      </rPr>
      <t> </t>
    </r>
  </si>
  <si>
    <r>
      <t>3</t>
    </r>
    <r>
      <rPr>
        <sz val="14"/>
        <rFont val="Arial"/>
        <family val="2"/>
      </rPr>
      <t> </t>
    </r>
  </si>
  <si>
    <r>
      <t>1.5</t>
    </r>
    <r>
      <rPr>
        <sz val="14"/>
        <rFont val="Arial"/>
        <family val="2"/>
      </rPr>
      <t> </t>
    </r>
  </si>
  <si>
    <r>
      <t>5000</t>
    </r>
    <r>
      <rPr>
        <sz val="14"/>
        <rFont val="Arial"/>
        <family val="2"/>
      </rPr>
      <t> </t>
    </r>
  </si>
  <si>
    <r>
      <t>4</t>
    </r>
    <r>
      <rPr>
        <sz val="14"/>
        <rFont val="Arial"/>
        <family val="2"/>
      </rPr>
      <t> </t>
    </r>
  </si>
  <si>
    <r>
      <t>6000</t>
    </r>
    <r>
      <rPr>
        <sz val="14"/>
        <rFont val="Arial"/>
        <family val="2"/>
      </rPr>
      <t> </t>
    </r>
  </si>
  <si>
    <r>
      <t>7000</t>
    </r>
    <r>
      <rPr>
        <sz val="14"/>
        <rFont val="Arial"/>
        <family val="2"/>
      </rPr>
      <t> </t>
    </r>
  </si>
  <si>
    <r>
      <t>5</t>
    </r>
    <r>
      <rPr>
        <sz val="14"/>
        <rFont val="Arial"/>
        <family val="2"/>
      </rPr>
      <t> </t>
    </r>
  </si>
  <si>
    <r>
      <t>8000</t>
    </r>
    <r>
      <rPr>
        <sz val="14"/>
        <rFont val="Arial"/>
        <family val="2"/>
      </rPr>
      <t> </t>
    </r>
  </si>
  <si>
    <r>
      <t>6</t>
    </r>
    <r>
      <rPr>
        <sz val="14"/>
        <rFont val="Arial"/>
        <family val="2"/>
      </rPr>
      <t> </t>
    </r>
  </si>
  <si>
    <r>
      <t>2.5</t>
    </r>
    <r>
      <rPr>
        <sz val="14"/>
        <rFont val="Arial"/>
        <family val="2"/>
      </rPr>
      <t> </t>
    </r>
  </si>
  <si>
    <r>
      <t>9000</t>
    </r>
    <r>
      <rPr>
        <sz val="14"/>
        <rFont val="Arial"/>
        <family val="2"/>
      </rPr>
      <t> </t>
    </r>
  </si>
  <si>
    <r>
      <t>10,000</t>
    </r>
    <r>
      <rPr>
        <sz val="14"/>
        <rFont val="Arial"/>
        <family val="2"/>
      </rPr>
      <t> </t>
    </r>
  </si>
  <si>
    <r>
      <t>7</t>
    </r>
    <r>
      <rPr>
        <sz val="14"/>
        <rFont val="Arial"/>
        <family val="2"/>
      </rPr>
      <t> </t>
    </r>
  </si>
  <si>
    <r>
      <t>11,000</t>
    </r>
    <r>
      <rPr>
        <sz val="14"/>
        <rFont val="Arial"/>
        <family val="2"/>
      </rPr>
      <t> </t>
    </r>
  </si>
  <si>
    <r>
      <t>8</t>
    </r>
    <r>
      <rPr>
        <sz val="14"/>
        <rFont val="Arial"/>
        <family val="2"/>
      </rPr>
      <t> </t>
    </r>
  </si>
  <si>
    <r>
      <t>3.5</t>
    </r>
    <r>
      <rPr>
        <sz val="14"/>
        <rFont val="Arial"/>
        <family val="2"/>
      </rPr>
      <t> </t>
    </r>
  </si>
  <si>
    <t>1/2 Pan Prep</t>
  </si>
  <si>
    <t>Updated by:</t>
  </si>
  <si>
    <t>Data Range:</t>
  </si>
  <si>
    <t>Todays Date:</t>
  </si>
  <si>
    <t>Color to Discard:</t>
  </si>
  <si>
    <t xml:space="preserve"> </t>
  </si>
  <si>
    <t>Amanda Galbraith</t>
  </si>
  <si>
    <t>4.29.25</t>
  </si>
  <si>
    <t>3.23.25-4.26.25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</si>
</sst>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0.000"/>
    <numFmt numFmtId="166" formatCode="0.0000"/>
  </numFmts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Lifehack"/>
      <family val="3"/>
    </font>
    <font>
      <sz val="11"/>
      <color theme="1"/>
      <name val="Lifehack"/>
      <family val="3"/>
    </font>
    <font>
      <sz val="10"/>
      <color theme="1"/>
      <name val="Lifehack"/>
      <family val="3"/>
    </font>
    <font>
      <sz val="9"/>
      <color theme="1"/>
      <name val="Gotham "/>
    </font>
    <font>
      <sz val="14"/>
      <color theme="1"/>
      <name val="Lifehack"/>
      <family val="3"/>
    </font>
    <font>
      <sz val="14"/>
      <color theme="1"/>
      <name val="Calibri "/>
    </font>
    <font>
      <b/>
      <sz val="10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name val="Calibri "/>
    </font>
    <font>
      <b/>
      <sz val="11"/>
      <name val="Calibri "/>
    </font>
    <font>
      <sz val="18"/>
      <color theme="1"/>
      <name val="Lifehack"/>
      <family val="3"/>
    </font>
    <font>
      <sz val="22"/>
      <color theme="1"/>
      <name val="Lifehack"/>
      <family val="3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  "/>
    </font>
    <font>
      <b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C384C"/>
        <bgColor indexed="64"/>
      </patternFill>
    </fill>
    <fill>
      <patternFill patternType="solid">
        <fgColor theme="2" tint="-0.249977111117893"/>
        <bgColor indexed="64"/>
      </patternFill>
    </fill>
  </fills>
  <borders count="9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13">
    <xf numFmtId="0" fontId="0" fillId="0" borderId="0" xfId="0"/>
    <xf numFmtId="0" fontId="0" fillId="0" borderId="2" xfId="0" applyBorder="1"/>
    <xf numFmtId="0" fontId="1" fillId="0" borderId="0" xfId="0" applyFont="1" applyAlignment="1">
      <alignment horizontal="center"/>
    </xf>
    <xf numFmtId="0" fontId="0" fillId="0" borderId="3" xfId="0" applyBorder="1"/>
    <xf numFmtId="0" fontId="0" fillId="4" borderId="2" xfId="0" applyFill="1" applyBorder="1" applyAlignment="1">
      <alignment horizontal="left"/>
    </xf>
    <xf numFmtId="0" fontId="0" fillId="4" borderId="2" xfId="0" applyFill="1" applyBorder="1"/>
    <xf numFmtId="166" fontId="0" fillId="0" borderId="3" xfId="0" applyNumberFormat="1" applyBorder="1"/>
    <xf numFmtId="1" fontId="0" fillId="0" borderId="2" xfId="0" applyNumberFormat="1" applyBorder="1"/>
    <xf numFmtId="0" fontId="3" fillId="0" borderId="0" xfId="0" applyFont="1" applyAlignment="1">
      <alignment vertical="center" wrapText="1"/>
    </xf>
    <xf numFmtId="166" fontId="0" fillId="0" borderId="16" xfId="0" applyNumberFormat="1" applyBorder="1"/>
    <xf numFmtId="0" fontId="0" fillId="0" borderId="23" xfId="0" applyBorder="1"/>
    <xf numFmtId="0" fontId="0" fillId="3" borderId="19" xfId="0" applyFill="1" applyBorder="1"/>
    <xf numFmtId="1" fontId="0" fillId="0" borderId="23" xfId="0" applyNumberFormat="1" applyBorder="1"/>
    <xf numFmtId="0" fontId="1" fillId="2" borderId="17" xfId="0" applyFont="1" applyFill="1" applyBorder="1"/>
    <xf numFmtId="0" fontId="0" fillId="0" borderId="30" xfId="0" applyBorder="1"/>
    <xf numFmtId="0" fontId="0" fillId="0" borderId="13" xfId="0" applyBorder="1"/>
    <xf numFmtId="0" fontId="0" fillId="0" borderId="0" xfId="0" applyAlignment="1">
      <alignment horizontal="left"/>
    </xf>
    <xf numFmtId="0" fontId="1" fillId="0" borderId="0" xfId="0" applyFont="1"/>
    <xf numFmtId="1" fontId="0" fillId="0" borderId="0" xfId="0" applyNumberFormat="1"/>
    <xf numFmtId="0" fontId="1" fillId="2" borderId="34" xfId="0" applyFont="1" applyFill="1" applyBorder="1"/>
    <xf numFmtId="0" fontId="8" fillId="0" borderId="0" xfId="0" applyFont="1"/>
    <xf numFmtId="44" fontId="1" fillId="0" borderId="0" xfId="1" applyFont="1" applyFill="1" applyBorder="1"/>
    <xf numFmtId="44" fontId="1" fillId="4" borderId="1" xfId="1" applyFont="1" applyFill="1" applyBorder="1" applyAlignment="1">
      <alignment vertical="center"/>
    </xf>
    <xf numFmtId="1" fontId="11" fillId="0" borderId="0" xfId="0" applyNumberFormat="1" applyFont="1" applyAlignment="1">
      <alignment horizontal="center"/>
    </xf>
    <xf numFmtId="0" fontId="11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vertical="center" wrapText="1"/>
    </xf>
    <xf numFmtId="44" fontId="0" fillId="0" borderId="0" xfId="0" applyNumberFormat="1"/>
    <xf numFmtId="0" fontId="0" fillId="0" borderId="26" xfId="0" applyBorder="1"/>
    <xf numFmtId="0" fontId="0" fillId="0" borderId="10" xfId="0" applyBorder="1"/>
    <xf numFmtId="0" fontId="0" fillId="0" borderId="40" xfId="0" applyBorder="1"/>
    <xf numFmtId="0" fontId="0" fillId="0" borderId="11" xfId="0" applyBorder="1"/>
    <xf numFmtId="0" fontId="0" fillId="0" borderId="41" xfId="0" applyBorder="1"/>
    <xf numFmtId="0" fontId="1" fillId="0" borderId="41" xfId="0" applyFont="1" applyBorder="1"/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0" fontId="13" fillId="0" borderId="7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 wrapText="1"/>
    </xf>
    <xf numFmtId="1" fontId="13" fillId="0" borderId="14" xfId="0" applyNumberFormat="1" applyFont="1" applyBorder="1" applyAlignment="1">
      <alignment horizontal="left"/>
    </xf>
    <xf numFmtId="1" fontId="12" fillId="0" borderId="34" xfId="0" applyNumberFormat="1" applyFont="1" applyBorder="1" applyAlignment="1">
      <alignment horizontal="center" vertical="center" wrapText="1"/>
    </xf>
    <xf numFmtId="1" fontId="12" fillId="0" borderId="21" xfId="0" applyNumberFormat="1" applyFont="1" applyBorder="1" applyAlignment="1">
      <alignment horizontal="center" vertical="center" wrapText="1"/>
    </xf>
    <xf numFmtId="1" fontId="12" fillId="0" borderId="42" xfId="0" applyNumberFormat="1" applyFont="1" applyBorder="1" applyAlignment="1">
      <alignment horizontal="center" vertical="center" wrapText="1"/>
    </xf>
    <xf numFmtId="0" fontId="0" fillId="0" borderId="25" xfId="0" applyBorder="1"/>
    <xf numFmtId="0" fontId="0" fillId="0" borderId="22" xfId="0" applyBorder="1"/>
    <xf numFmtId="1" fontId="11" fillId="0" borderId="0" xfId="0" applyNumberFormat="1" applyFont="1" applyAlignment="1">
      <alignment horizontal="left"/>
    </xf>
    <xf numFmtId="0" fontId="1" fillId="8" borderId="1" xfId="0" applyFont="1" applyFill="1" applyBorder="1"/>
    <xf numFmtId="0" fontId="1" fillId="8" borderId="4" xfId="0" applyFont="1" applyFill="1" applyBorder="1"/>
    <xf numFmtId="0" fontId="1" fillId="8" borderId="6" xfId="0" applyFont="1" applyFill="1" applyBorder="1"/>
    <xf numFmtId="0" fontId="1" fillId="8" borderId="39" xfId="0" applyFont="1" applyFill="1" applyBorder="1"/>
    <xf numFmtId="0" fontId="10" fillId="8" borderId="4" xfId="0" applyFont="1" applyFill="1" applyBorder="1" applyAlignment="1">
      <alignment vertical="center" wrapText="1"/>
    </xf>
    <xf numFmtId="1" fontId="0" fillId="0" borderId="27" xfId="0" applyNumberFormat="1" applyBorder="1" applyAlignment="1">
      <alignment horizontal="center"/>
    </xf>
    <xf numFmtId="0" fontId="0" fillId="0" borderId="0" xfId="0" applyAlignment="1">
      <alignment wrapText="1"/>
    </xf>
    <xf numFmtId="0" fontId="1" fillId="0" borderId="25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16" xfId="0" applyBorder="1"/>
    <xf numFmtId="0" fontId="0" fillId="0" borderId="12" xfId="0" applyBorder="1"/>
    <xf numFmtId="0" fontId="1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44" fontId="1" fillId="4" borderId="1" xfId="1" applyFont="1" applyFill="1" applyBorder="1" applyProtection="1">
      <protection locked="0"/>
    </xf>
    <xf numFmtId="1" fontId="12" fillId="0" borderId="24" xfId="0" applyNumberFormat="1" applyFont="1" applyBorder="1" applyAlignment="1">
      <alignment horizontal="center" vertical="center" wrapText="1"/>
    </xf>
    <xf numFmtId="1" fontId="13" fillId="0" borderId="22" xfId="0" applyNumberFormat="1" applyFont="1" applyBorder="1" applyAlignment="1">
      <alignment horizontal="left"/>
    </xf>
    <xf numFmtId="0" fontId="10" fillId="0" borderId="0" xfId="0" applyFont="1" applyAlignment="1">
      <alignment horizontal="center" vertical="center" wrapText="1"/>
    </xf>
    <xf numFmtId="0" fontId="1" fillId="8" borderId="1" xfId="0" applyFont="1" applyFill="1" applyBorder="1" applyAlignment="1">
      <alignment horizontal="center"/>
    </xf>
    <xf numFmtId="0" fontId="0" fillId="0" borderId="46" xfId="0" applyBorder="1"/>
    <xf numFmtId="0" fontId="0" fillId="0" borderId="14" xfId="0" applyBorder="1"/>
    <xf numFmtId="0" fontId="0" fillId="0" borderId="5" xfId="0" applyBorder="1"/>
    <xf numFmtId="0" fontId="0" fillId="0" borderId="19" xfId="0" applyBorder="1" applyAlignment="1">
      <alignment horizontal="center"/>
    </xf>
    <xf numFmtId="0" fontId="0" fillId="0" borderId="16" xfId="0" applyBorder="1" applyAlignment="1">
      <alignment horizontal="center"/>
    </xf>
    <xf numFmtId="1" fontId="12" fillId="0" borderId="27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8" xfId="0" applyBorder="1"/>
    <xf numFmtId="0" fontId="0" fillId="0" borderId="0" xfId="0" applyAlignment="1">
      <alignment vertical="top" wrapText="1"/>
    </xf>
    <xf numFmtId="0" fontId="0" fillId="0" borderId="32" xfId="0" applyBorder="1"/>
    <xf numFmtId="1" fontId="15" fillId="8" borderId="4" xfId="0" applyNumberFormat="1" applyFont="1" applyFill="1" applyBorder="1" applyAlignment="1">
      <alignment horizontal="left"/>
    </xf>
    <xf numFmtId="1" fontId="14" fillId="0" borderId="45" xfId="0" applyNumberFormat="1" applyFont="1" applyBorder="1" applyAlignment="1">
      <alignment horizontal="left"/>
    </xf>
    <xf numFmtId="1" fontId="14" fillId="0" borderId="30" xfId="0" applyNumberFormat="1" applyFont="1" applyBorder="1" applyAlignment="1">
      <alignment horizontal="left"/>
    </xf>
    <xf numFmtId="1" fontId="14" fillId="0" borderId="48" xfId="0" applyNumberFormat="1" applyFont="1" applyBorder="1" applyAlignment="1">
      <alignment horizontal="left"/>
    </xf>
    <xf numFmtId="1" fontId="12" fillId="0" borderId="0" xfId="0" applyNumberFormat="1" applyFont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44" fontId="1" fillId="0" borderId="0" xfId="0" applyNumberFormat="1" applyFont="1"/>
    <xf numFmtId="1" fontId="0" fillId="0" borderId="36" xfId="0" applyNumberFormat="1" applyBorder="1" applyAlignment="1">
      <alignment horizontal="center"/>
    </xf>
    <xf numFmtId="0" fontId="0" fillId="0" borderId="21" xfId="0" applyBorder="1"/>
    <xf numFmtId="0" fontId="10" fillId="0" borderId="14" xfId="0" applyFont="1" applyBorder="1" applyAlignment="1">
      <alignment horizontal="center"/>
    </xf>
    <xf numFmtId="0" fontId="1" fillId="8" borderId="4" xfId="0" applyFont="1" applyFill="1" applyBorder="1" applyAlignment="1">
      <alignment vertical="center"/>
    </xf>
    <xf numFmtId="1" fontId="12" fillId="0" borderId="0" xfId="0" applyNumberFormat="1" applyFont="1" applyAlignment="1">
      <alignment horizontal="center"/>
    </xf>
    <xf numFmtId="0" fontId="0" fillId="0" borderId="31" xfId="0" applyBorder="1"/>
    <xf numFmtId="0" fontId="0" fillId="0" borderId="42" xfId="0" applyBorder="1" applyAlignment="1">
      <alignment horizontal="center"/>
    </xf>
    <xf numFmtId="0" fontId="0" fillId="0" borderId="18" xfId="0" applyBorder="1" applyAlignment="1">
      <alignment horizontal="center"/>
    </xf>
    <xf numFmtId="164" fontId="0" fillId="0" borderId="0" xfId="0" applyNumberFormat="1"/>
    <xf numFmtId="166" fontId="0" fillId="0" borderId="0" xfId="0" applyNumberFormat="1"/>
    <xf numFmtId="0" fontId="0" fillId="4" borderId="3" xfId="0" applyFill="1" applyBorder="1" applyAlignment="1" applyProtection="1">
      <alignment horizontal="center"/>
      <protection locked="0"/>
    </xf>
    <xf numFmtId="0" fontId="1" fillId="8" borderId="26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23" xfId="0" applyFont="1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1" fillId="8" borderId="28" xfId="0" applyFont="1" applyFill="1" applyBorder="1"/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1" fillId="8" borderId="5" xfId="0" applyFont="1" applyFill="1" applyBorder="1"/>
    <xf numFmtId="0" fontId="1" fillId="8" borderId="29" xfId="0" applyFont="1" applyFill="1" applyBorder="1"/>
    <xf numFmtId="0" fontId="1" fillId="8" borderId="17" xfId="0" applyFont="1" applyFill="1" applyBorder="1"/>
    <xf numFmtId="0" fontId="1" fillId="8" borderId="53" xfId="0" applyFont="1" applyFill="1" applyBorder="1"/>
    <xf numFmtId="0" fontId="1" fillId="8" borderId="17" xfId="0" applyFont="1" applyFill="1" applyBorder="1" applyAlignment="1">
      <alignment horizontal="center"/>
    </xf>
    <xf numFmtId="0" fontId="19" fillId="8" borderId="53" xfId="0" applyFont="1" applyFill="1" applyBorder="1"/>
    <xf numFmtId="0" fontId="1" fillId="8" borderId="49" xfId="0" applyFont="1" applyFill="1" applyBorder="1" applyAlignment="1">
      <alignment horizontal="center"/>
    </xf>
    <xf numFmtId="0" fontId="1" fillId="8" borderId="31" xfId="0" applyFont="1" applyFill="1" applyBorder="1" applyAlignment="1">
      <alignment horizontal="center"/>
    </xf>
    <xf numFmtId="0" fontId="20" fillId="10" borderId="56" xfId="0" applyFont="1" applyFill="1" applyBorder="1" applyAlignment="1">
      <alignment horizontal="left" vertical="center" wrapText="1"/>
    </xf>
    <xf numFmtId="0" fontId="20" fillId="10" borderId="57" xfId="0" applyFont="1" applyFill="1" applyBorder="1" applyAlignment="1">
      <alignment horizontal="left" vertical="center" wrapText="1"/>
    </xf>
    <xf numFmtId="0" fontId="21" fillId="11" borderId="55" xfId="0" applyFont="1" applyFill="1" applyBorder="1" applyAlignment="1">
      <alignment horizontal="center" vertical="center" wrapText="1"/>
    </xf>
    <xf numFmtId="0" fontId="21" fillId="12" borderId="58" xfId="0" applyFont="1" applyFill="1" applyBorder="1" applyAlignment="1">
      <alignment horizontal="center" vertical="center" wrapText="1"/>
    </xf>
    <xf numFmtId="0" fontId="21" fillId="11" borderId="58" xfId="0" applyFont="1" applyFill="1" applyBorder="1" applyAlignment="1">
      <alignment horizontal="center" vertical="center" wrapText="1"/>
    </xf>
    <xf numFmtId="0" fontId="21" fillId="0" borderId="58" xfId="0" applyFont="1" applyBorder="1" applyAlignment="1">
      <alignment horizontal="center" vertical="center" wrapText="1"/>
    </xf>
    <xf numFmtId="0" fontId="20" fillId="10" borderId="58" xfId="0" applyFont="1" applyFill="1" applyBorder="1" applyAlignment="1">
      <alignment horizontal="left" vertical="center" wrapText="1"/>
    </xf>
    <xf numFmtId="0" fontId="0" fillId="10" borderId="61" xfId="0" applyFill="1" applyBorder="1" applyAlignment="1">
      <alignment vertical="top" wrapText="1"/>
    </xf>
    <xf numFmtId="0" fontId="21" fillId="11" borderId="55" xfId="0" applyFont="1" applyFill="1" applyBorder="1" applyAlignment="1">
      <alignment horizontal="left" vertical="center" wrapText="1"/>
    </xf>
    <xf numFmtId="0" fontId="21" fillId="11" borderId="62" xfId="0" applyFont="1" applyFill="1" applyBorder="1" applyAlignment="1">
      <alignment horizontal="center" vertical="center" wrapText="1"/>
    </xf>
    <xf numFmtId="0" fontId="21" fillId="12" borderId="58" xfId="0" applyFont="1" applyFill="1" applyBorder="1" applyAlignment="1">
      <alignment horizontal="left" vertical="center" wrapText="1"/>
    </xf>
    <xf numFmtId="0" fontId="21" fillId="12" borderId="59" xfId="0" applyFont="1" applyFill="1" applyBorder="1" applyAlignment="1">
      <alignment horizontal="center" vertical="center" wrapText="1"/>
    </xf>
    <xf numFmtId="0" fontId="21" fillId="11" borderId="58" xfId="0" applyFont="1" applyFill="1" applyBorder="1" applyAlignment="1">
      <alignment horizontal="left" vertical="center" wrapText="1"/>
    </xf>
    <xf numFmtId="0" fontId="21" fillId="11" borderId="59" xfId="0" applyFont="1" applyFill="1" applyBorder="1" applyAlignment="1">
      <alignment horizontal="center" vertical="center" wrapText="1"/>
    </xf>
    <xf numFmtId="0" fontId="21" fillId="0" borderId="58" xfId="0" applyFont="1" applyBorder="1" applyAlignment="1">
      <alignment horizontal="left" vertical="center" wrapText="1"/>
    </xf>
    <xf numFmtId="0" fontId="21" fillId="0" borderId="59" xfId="0" applyFont="1" applyBorder="1" applyAlignment="1">
      <alignment horizontal="center" vertical="center" wrapText="1"/>
    </xf>
    <xf numFmtId="0" fontId="21" fillId="12" borderId="63" xfId="0" applyFont="1" applyFill="1" applyBorder="1" applyAlignment="1">
      <alignment horizontal="left" vertical="center" wrapText="1"/>
    </xf>
    <xf numFmtId="0" fontId="21" fillId="12" borderId="63" xfId="0" applyFont="1" applyFill="1" applyBorder="1" applyAlignment="1">
      <alignment horizontal="center" vertical="center" wrapText="1"/>
    </xf>
    <xf numFmtId="0" fontId="21" fillId="12" borderId="64" xfId="0" applyFont="1" applyFill="1" applyBorder="1" applyAlignment="1">
      <alignment horizontal="center" vertical="center" wrapText="1"/>
    </xf>
    <xf numFmtId="0" fontId="0" fillId="0" borderId="49" xfId="0" applyBorder="1"/>
    <xf numFmtId="0" fontId="0" fillId="13" borderId="50" xfId="0" applyFill="1" applyBorder="1" applyAlignment="1">
      <alignment horizontal="center"/>
    </xf>
    <xf numFmtId="0" fontId="0" fillId="13" borderId="25" xfId="0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0" fontId="0" fillId="13" borderId="20" xfId="0" applyFill="1" applyBorder="1" applyAlignment="1">
      <alignment horizontal="center"/>
    </xf>
    <xf numFmtId="0" fontId="0" fillId="13" borderId="18" xfId="0" applyFill="1" applyBorder="1" applyAlignment="1">
      <alignment horizontal="center"/>
    </xf>
    <xf numFmtId="0" fontId="0" fillId="13" borderId="54" xfId="0" applyFill="1" applyBorder="1" applyAlignment="1">
      <alignment horizontal="center"/>
    </xf>
    <xf numFmtId="0" fontId="22" fillId="0" borderId="0" xfId="0" applyFont="1"/>
    <xf numFmtId="0" fontId="0" fillId="13" borderId="52" xfId="0" applyFill="1" applyBorder="1" applyAlignment="1">
      <alignment horizontal="center"/>
    </xf>
    <xf numFmtId="0" fontId="0" fillId="13" borderId="47" xfId="0" applyFill="1" applyBorder="1" applyAlignment="1">
      <alignment horizontal="center"/>
    </xf>
    <xf numFmtId="0" fontId="0" fillId="0" borderId="65" xfId="0" applyBorder="1" applyAlignment="1">
      <alignment horizontal="center"/>
    </xf>
    <xf numFmtId="0" fontId="0" fillId="13" borderId="66" xfId="0" applyFill="1" applyBorder="1" applyAlignment="1">
      <alignment horizontal="center"/>
    </xf>
    <xf numFmtId="0" fontId="1" fillId="8" borderId="67" xfId="0" applyFont="1" applyFill="1" applyBorder="1" applyAlignment="1">
      <alignment horizontal="center"/>
    </xf>
    <xf numFmtId="0" fontId="0" fillId="0" borderId="68" xfId="0" applyBorder="1"/>
    <xf numFmtId="0" fontId="0" fillId="0" borderId="69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13" borderId="65" xfId="0" applyFill="1" applyBorder="1" applyAlignment="1">
      <alignment horizontal="center"/>
    </xf>
    <xf numFmtId="0" fontId="0" fillId="13" borderId="71" xfId="0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13" borderId="72" xfId="0" applyFill="1" applyBorder="1" applyAlignment="1">
      <alignment horizontal="center"/>
    </xf>
    <xf numFmtId="0" fontId="0" fillId="0" borderId="73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22" fillId="0" borderId="0" xfId="0" applyFont="1" applyAlignment="1">
      <alignment wrapText="1"/>
    </xf>
    <xf numFmtId="0" fontId="0" fillId="0" borderId="24" xfId="0" applyBorder="1"/>
    <xf numFmtId="0" fontId="1" fillId="2" borderId="75" xfId="0" applyFont="1" applyFill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2" borderId="29" xfId="0" applyFont="1" applyFill="1" applyBorder="1" applyAlignment="1">
      <alignment vertical="center"/>
    </xf>
    <xf numFmtId="0" fontId="0" fillId="0" borderId="54" xfId="0" applyBorder="1" applyAlignment="1">
      <alignment horizontal="center"/>
    </xf>
    <xf numFmtId="0" fontId="1" fillId="0" borderId="18" xfId="0" applyFont="1" applyBorder="1"/>
    <xf numFmtId="0" fontId="1" fillId="4" borderId="2" xfId="0" applyFont="1" applyFill="1" applyBorder="1"/>
    <xf numFmtId="0" fontId="0" fillId="0" borderId="77" xfId="0" applyBorder="1"/>
    <xf numFmtId="0" fontId="0" fillId="3" borderId="24" xfId="0" applyFill="1" applyBorder="1"/>
    <xf numFmtId="0" fontId="0" fillId="0" borderId="0" xfId="0" applyAlignment="1">
      <alignment horizontal="center"/>
    </xf>
    <xf numFmtId="165" fontId="24" fillId="0" borderId="0" xfId="0" applyNumberFormat="1" applyFont="1"/>
    <xf numFmtId="0" fontId="24" fillId="0" borderId="0" xfId="0" applyFont="1"/>
    <xf numFmtId="0" fontId="19" fillId="0" borderId="0" xfId="0" applyFont="1"/>
    <xf numFmtId="0" fontId="25" fillId="0" borderId="0" xfId="0" applyFont="1"/>
    <xf numFmtId="165" fontId="25" fillId="0" borderId="0" xfId="0" applyNumberFormat="1" applyFont="1"/>
    <xf numFmtId="0" fontId="25" fillId="0" borderId="0" xfId="0" applyFont="1" applyAlignment="1">
      <alignment horizontal="center"/>
    </xf>
    <xf numFmtId="0" fontId="19" fillId="14" borderId="1" xfId="0" applyFont="1" applyFill="1" applyBorder="1"/>
    <xf numFmtId="0" fontId="25" fillId="0" borderId="1" xfId="0" applyFont="1" applyBorder="1"/>
    <xf numFmtId="165" fontId="25" fillId="0" borderId="1" xfId="0" applyNumberFormat="1" applyFont="1" applyBorder="1"/>
    <xf numFmtId="165" fontId="25" fillId="0" borderId="38" xfId="0" applyNumberFormat="1" applyFont="1" applyBorder="1"/>
    <xf numFmtId="0" fontId="25" fillId="0" borderId="38" xfId="0" applyFont="1" applyBorder="1"/>
    <xf numFmtId="0" fontId="25" fillId="14" borderId="6" xfId="0" applyFont="1" applyFill="1" applyBorder="1"/>
    <xf numFmtId="0" fontId="0" fillId="0" borderId="76" xfId="0" applyBorder="1"/>
    <xf numFmtId="0" fontId="25" fillId="14" borderId="1" xfId="0" applyFont="1" applyFill="1" applyBorder="1"/>
    <xf numFmtId="0" fontId="0" fillId="0" borderId="47" xfId="0" applyBorder="1" applyAlignment="1">
      <alignment horizontal="center"/>
    </xf>
    <xf numFmtId="0" fontId="0" fillId="0" borderId="9" xfId="0" applyBorder="1"/>
    <xf numFmtId="0" fontId="0" fillId="0" borderId="78" xfId="0" applyBorder="1" applyAlignment="1">
      <alignment horizontal="center"/>
    </xf>
    <xf numFmtId="0" fontId="0" fillId="3" borderId="21" xfId="0" applyFill="1" applyBorder="1"/>
    <xf numFmtId="0" fontId="3" fillId="0" borderId="14" xfId="0" applyFont="1" applyBorder="1" applyAlignment="1">
      <alignment vertical="center" wrapText="1"/>
    </xf>
    <xf numFmtId="0" fontId="25" fillId="0" borderId="4" xfId="0" applyFont="1" applyBorder="1"/>
    <xf numFmtId="0" fontId="25" fillId="0" borderId="14" xfId="0" applyFont="1" applyBorder="1"/>
    <xf numFmtId="0" fontId="0" fillId="0" borderId="1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79" xfId="0" applyBorder="1"/>
    <xf numFmtId="0" fontId="0" fillId="0" borderId="81" xfId="0" applyBorder="1" applyAlignment="1">
      <alignment horizontal="center"/>
    </xf>
    <xf numFmtId="0" fontId="0" fillId="0" borderId="82" xfId="0" applyBorder="1"/>
    <xf numFmtId="0" fontId="10" fillId="8" borderId="35" xfId="0" applyFont="1" applyFill="1" applyBorder="1" applyAlignment="1">
      <alignment vertical="center" wrapText="1"/>
    </xf>
    <xf numFmtId="0" fontId="10" fillId="8" borderId="38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/>
    </xf>
    <xf numFmtId="0" fontId="0" fillId="0" borderId="83" xfId="0" applyBorder="1"/>
    <xf numFmtId="0" fontId="0" fillId="0" borderId="84" xfId="0" applyBorder="1"/>
    <xf numFmtId="0" fontId="1" fillId="0" borderId="0" xfId="0" applyFont="1" applyAlignment="1" applyProtection="1">
      <alignment vertical="center"/>
      <protection locked="0"/>
    </xf>
    <xf numFmtId="166" fontId="0" fillId="0" borderId="41" xfId="0" applyNumberFormat="1" applyBorder="1"/>
    <xf numFmtId="0" fontId="3" fillId="0" borderId="15" xfId="0" applyFont="1" applyBorder="1" applyAlignment="1">
      <alignment vertical="center" wrapText="1"/>
    </xf>
    <xf numFmtId="0" fontId="19" fillId="0" borderId="86" xfId="0" applyFont="1" applyBorder="1"/>
    <xf numFmtId="0" fontId="25" fillId="0" borderId="5" xfId="0" applyFont="1" applyBorder="1"/>
    <xf numFmtId="0" fontId="0" fillId="0" borderId="0" xfId="0" applyProtection="1">
      <protection locked="0"/>
    </xf>
    <xf numFmtId="0" fontId="0" fillId="0" borderId="34" xfId="0" applyBorder="1"/>
    <xf numFmtId="0" fontId="0" fillId="5" borderId="27" xfId="0" applyFill="1" applyBorder="1" applyProtection="1">
      <protection locked="0"/>
    </xf>
    <xf numFmtId="0" fontId="0" fillId="5" borderId="24" xfId="0" applyFill="1" applyBorder="1" applyProtection="1">
      <protection locked="0"/>
    </xf>
    <xf numFmtId="0" fontId="25" fillId="0" borderId="10" xfId="0" applyFont="1" applyBorder="1"/>
    <xf numFmtId="0" fontId="1" fillId="9" borderId="88" xfId="0" applyFont="1" applyFill="1" applyBorder="1"/>
    <xf numFmtId="0" fontId="0" fillId="5" borderId="19" xfId="0" applyFill="1" applyBorder="1" applyProtection="1">
      <protection locked="0"/>
    </xf>
    <xf numFmtId="0" fontId="0" fillId="5" borderId="21" xfId="0" applyFill="1" applyBorder="1" applyProtection="1">
      <protection locked="0"/>
    </xf>
    <xf numFmtId="0" fontId="0" fillId="0" borderId="50" xfId="0" applyBorder="1"/>
    <xf numFmtId="0" fontId="0" fillId="0" borderId="51" xfId="0" applyBorder="1"/>
    <xf numFmtId="0" fontId="0" fillId="0" borderId="78" xfId="0" applyBorder="1"/>
    <xf numFmtId="166" fontId="0" fillId="0" borderId="23" xfId="0" applyNumberFormat="1" applyBorder="1"/>
    <xf numFmtId="0" fontId="1" fillId="6" borderId="1" xfId="0" applyFont="1" applyFill="1" applyBorder="1" applyAlignment="1">
      <alignment horizontal="center"/>
    </xf>
    <xf numFmtId="0" fontId="0" fillId="3" borderId="9" xfId="0" applyFill="1" applyBorder="1"/>
    <xf numFmtId="0" fontId="3" fillId="0" borderId="8" xfId="0" applyFont="1" applyBorder="1" applyAlignment="1">
      <alignment vertical="center" wrapText="1"/>
    </xf>
    <xf numFmtId="0" fontId="1" fillId="9" borderId="88" xfId="0" applyFont="1" applyFill="1" applyBorder="1" applyAlignment="1">
      <alignment horizontal="center"/>
    </xf>
    <xf numFmtId="0" fontId="0" fillId="5" borderId="42" xfId="0" applyFill="1" applyBorder="1" applyProtection="1">
      <protection locked="0"/>
    </xf>
    <xf numFmtId="0" fontId="3" fillId="0" borderId="5" xfId="0" applyFont="1" applyBorder="1" applyAlignment="1">
      <alignment vertical="center" wrapText="1"/>
    </xf>
    <xf numFmtId="0" fontId="1" fillId="9" borderId="0" xfId="0" applyFont="1" applyFill="1" applyAlignment="1">
      <alignment horizontal="center"/>
    </xf>
    <xf numFmtId="0" fontId="0" fillId="5" borderId="21" xfId="0" applyFill="1" applyBorder="1" applyAlignment="1" applyProtection="1">
      <alignment horizontal="right"/>
      <protection locked="0"/>
    </xf>
    <xf numFmtId="0" fontId="0" fillId="0" borderId="15" xfId="0" applyBorder="1" applyAlignment="1">
      <alignment horizontal="left"/>
    </xf>
    <xf numFmtId="0" fontId="1" fillId="6" borderId="39" xfId="0" applyFont="1" applyFill="1" applyBorder="1" applyAlignment="1">
      <alignment horizontal="center"/>
    </xf>
    <xf numFmtId="0" fontId="0" fillId="0" borderId="87" xfId="0" applyBorder="1"/>
    <xf numFmtId="1" fontId="0" fillId="0" borderId="89" xfId="0" applyNumberFormat="1" applyBorder="1"/>
    <xf numFmtId="166" fontId="0" fillId="0" borderId="87" xfId="0" applyNumberFormat="1" applyBorder="1"/>
    <xf numFmtId="4" fontId="1" fillId="0" borderId="0" xfId="0" applyNumberFormat="1" applyFont="1" applyAlignment="1" applyProtection="1">
      <alignment horizontal="center" vertical="center"/>
      <protection locked="0"/>
    </xf>
    <xf numFmtId="1" fontId="12" fillId="0" borderId="19" xfId="0" applyNumberFormat="1" applyFont="1" applyBorder="1" applyAlignment="1">
      <alignment horizontal="center" vertical="center" wrapText="1"/>
    </xf>
    <xf numFmtId="1" fontId="12" fillId="0" borderId="90" xfId="0" applyNumberFormat="1" applyFont="1" applyBorder="1" applyAlignment="1">
      <alignment horizontal="center" vertical="center" wrapText="1"/>
    </xf>
    <xf numFmtId="0" fontId="1" fillId="8" borderId="38" xfId="0" applyFont="1" applyFill="1" applyBorder="1"/>
    <xf numFmtId="0" fontId="0" fillId="0" borderId="48" xfId="0" applyBorder="1" applyAlignment="1">
      <alignment horizontal="center"/>
    </xf>
    <xf numFmtId="0" fontId="1" fillId="8" borderId="40" xfId="0" applyFont="1" applyFill="1" applyBorder="1" applyAlignment="1">
      <alignment horizontal="center"/>
    </xf>
    <xf numFmtId="0" fontId="0" fillId="8" borderId="1" xfId="0" applyFill="1" applyBorder="1"/>
    <xf numFmtId="0" fontId="0" fillId="0" borderId="38" xfId="0" applyBorder="1" applyAlignment="1">
      <alignment horizontal="center"/>
    </xf>
    <xf numFmtId="0" fontId="0" fillId="0" borderId="35" xfId="0" applyBorder="1" applyAlignment="1">
      <alignment horizontal="center"/>
    </xf>
    <xf numFmtId="0" fontId="18" fillId="0" borderId="0" xfId="0" applyFont="1" applyAlignment="1">
      <alignment textRotation="90"/>
    </xf>
    <xf numFmtId="0" fontId="0" fillId="0" borderId="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4" borderId="2" xfId="0" applyFill="1" applyBorder="1" applyAlignment="1" applyProtection="1">
      <alignment horizontal="center"/>
      <protection locked="0"/>
    </xf>
    <xf numFmtId="0" fontId="1" fillId="2" borderId="75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76" xfId="0" applyBorder="1" applyAlignment="1">
      <alignment horizontal="left"/>
    </xf>
    <xf numFmtId="1" fontId="0" fillId="0" borderId="3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20" fillId="10" borderId="59" xfId="0" applyFont="1" applyFill="1" applyBorder="1" applyAlignment="1">
      <alignment horizontal="left" vertical="center" wrapText="1"/>
    </xf>
    <xf numFmtId="0" fontId="20" fillId="10" borderId="60" xfId="0" applyFont="1" applyFill="1" applyBorder="1" applyAlignment="1">
      <alignment horizontal="left" vertical="center" wrapText="1"/>
    </xf>
    <xf numFmtId="0" fontId="0" fillId="0" borderId="15" xfId="0" applyBorder="1"/>
    <xf numFmtId="0" fontId="1" fillId="9" borderId="39" xfId="0" applyFont="1" applyFill="1" applyBorder="1"/>
    <xf numFmtId="0" fontId="0" fillId="0" borderId="1" xfId="0" applyBorder="1"/>
    <xf numFmtId="0" fontId="0" fillId="0" borderId="39" xfId="0" applyBorder="1"/>
    <xf numFmtId="2" fontId="0" fillId="0" borderId="1" xfId="0" applyNumberFormat="1" applyBorder="1"/>
    <xf numFmtId="1" fontId="0" fillId="0" borderId="34" xfId="0" applyNumberForma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0" fontId="11" fillId="0" borderId="1" xfId="0" applyFont="1" applyBorder="1"/>
    <xf numFmtId="0" fontId="0" fillId="0" borderId="91" xfId="0" applyBorder="1"/>
    <xf numFmtId="0" fontId="0" fillId="5" borderId="19" xfId="0" applyFill="1" applyBorder="1" applyAlignment="1" applyProtection="1">
      <alignment horizontal="right"/>
      <protection locked="0"/>
    </xf>
    <xf numFmtId="0" fontId="0" fillId="5" borderId="3" xfId="0" applyFill="1" applyBorder="1" applyAlignment="1" applyProtection="1">
      <alignment horizontal="right"/>
      <protection locked="0"/>
    </xf>
    <xf numFmtId="0" fontId="0" fillId="5" borderId="3" xfId="0" applyFill="1" applyBorder="1" applyProtection="1">
      <protection locked="0"/>
    </xf>
    <xf numFmtId="0" fontId="0" fillId="5" borderId="2" xfId="0" applyFill="1" applyBorder="1" applyProtection="1">
      <protection locked="0"/>
    </xf>
    <xf numFmtId="0" fontId="0" fillId="5" borderId="31" xfId="0" applyFill="1" applyBorder="1" applyProtection="1">
      <protection locked="0"/>
    </xf>
    <xf numFmtId="0" fontId="0" fillId="0" borderId="0" xfId="0" applyAlignment="1">
      <alignment vertical="center" wrapText="1"/>
    </xf>
    <xf numFmtId="0" fontId="1" fillId="6" borderId="25" xfId="0" applyFont="1" applyFill="1" applyBorder="1" applyAlignment="1">
      <alignment vertical="center" wrapText="1"/>
    </xf>
    <xf numFmtId="0" fontId="1" fillId="6" borderId="20" xfId="0" applyFont="1" applyFill="1" applyBorder="1" applyAlignment="1">
      <alignment vertical="center" wrapText="1"/>
    </xf>
    <xf numFmtId="0" fontId="1" fillId="6" borderId="22" xfId="0" applyFont="1" applyFill="1" applyBorder="1" applyAlignment="1">
      <alignment vertical="center" wrapText="1"/>
    </xf>
    <xf numFmtId="0" fontId="28" fillId="0" borderId="0" xfId="0" applyFont="1"/>
    <xf numFmtId="0" fontId="17" fillId="0" borderId="0" xfId="0" applyFont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" fillId="2" borderId="74" xfId="0" applyFont="1" applyFill="1" applyBorder="1" applyAlignment="1">
      <alignment horizontal="center"/>
    </xf>
    <xf numFmtId="0" fontId="1" fillId="2" borderId="7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" xfId="0" applyBorder="1" applyAlignment="1">
      <alignment horizontal="left"/>
    </xf>
    <xf numFmtId="0" fontId="18" fillId="0" borderId="91" xfId="0" applyFont="1" applyBorder="1" applyAlignment="1">
      <alignment horizontal="right" textRotation="90"/>
    </xf>
    <xf numFmtId="0" fontId="18" fillId="0" borderId="49" xfId="0" applyFont="1" applyBorder="1" applyAlignment="1">
      <alignment horizontal="right" textRotation="90"/>
    </xf>
    <xf numFmtId="0" fontId="0" fillId="0" borderId="31" xfId="0" applyBorder="1" applyAlignment="1">
      <alignment horizontal="left"/>
    </xf>
    <xf numFmtId="0" fontId="0" fillId="0" borderId="44" xfId="0" applyBorder="1" applyAlignment="1">
      <alignment horizontal="left"/>
    </xf>
    <xf numFmtId="0" fontId="0" fillId="9" borderId="2" xfId="0" applyFill="1" applyBorder="1" applyAlignment="1">
      <alignment horizontal="left"/>
    </xf>
    <xf numFmtId="0" fontId="0" fillId="0" borderId="43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7" fillId="4" borderId="12" xfId="0" applyFont="1" applyFill="1" applyBorder="1" applyAlignment="1" applyProtection="1">
      <alignment horizontal="center"/>
      <protection locked="0"/>
    </xf>
    <xf numFmtId="0" fontId="27" fillId="4" borderId="13" xfId="0" applyFont="1" applyFill="1" applyBorder="1" applyAlignment="1" applyProtection="1">
      <alignment horizontal="center"/>
      <protection locked="0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27" fillId="4" borderId="3" xfId="0" applyFont="1" applyFill="1" applyBorder="1" applyAlignment="1" applyProtection="1">
      <alignment horizontal="center"/>
      <protection locked="0"/>
    </xf>
    <xf numFmtId="0" fontId="1" fillId="2" borderId="74" xfId="0" applyFont="1" applyFill="1" applyBorder="1" applyAlignment="1">
      <alignment horizontal="left"/>
    </xf>
    <xf numFmtId="0" fontId="1" fillId="2" borderId="75" xfId="0" applyFont="1" applyFill="1" applyBorder="1" applyAlignment="1">
      <alignment horizontal="left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27" fillId="4" borderId="16" xfId="0" applyFont="1" applyFill="1" applyBorder="1" applyAlignment="1" applyProtection="1">
      <alignment horizontal="center"/>
      <protection locked="0"/>
    </xf>
    <xf numFmtId="0" fontId="27" fillId="4" borderId="76" xfId="0" applyFont="1" applyFill="1" applyBorder="1" applyAlignment="1" applyProtection="1">
      <alignment horizontal="center"/>
      <protection locked="0"/>
    </xf>
    <xf numFmtId="0" fontId="0" fillId="0" borderId="3" xfId="0" applyBorder="1" applyAlignment="1">
      <alignment horizontal="left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0" fillId="0" borderId="2" xfId="0" applyBorder="1"/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27" fillId="4" borderId="2" xfId="0" applyFont="1" applyFill="1" applyBorder="1" applyAlignment="1" applyProtection="1">
      <alignment horizontal="center"/>
      <protection locked="0"/>
    </xf>
    <xf numFmtId="0" fontId="1" fillId="2" borderId="34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32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22" fillId="0" borderId="8" xfId="0" applyFont="1" applyBorder="1" applyAlignment="1">
      <alignment horizontal="left" wrapText="1"/>
    </xf>
    <xf numFmtId="0" fontId="22" fillId="0" borderId="0" xfId="0" applyFont="1" applyAlignment="1">
      <alignment horizontal="left" wrapText="1"/>
    </xf>
    <xf numFmtId="0" fontId="0" fillId="13" borderId="0" xfId="0" applyFill="1" applyAlignment="1">
      <alignment horizontal="center"/>
    </xf>
    <xf numFmtId="0" fontId="1" fillId="0" borderId="0" xfId="0" applyFont="1" applyAlignment="1">
      <alignment horizontal="left" vertical="top"/>
    </xf>
    <xf numFmtId="0" fontId="0" fillId="0" borderId="10" xfId="0" applyBorder="1" applyAlignment="1">
      <alignment horizontal="center"/>
    </xf>
    <xf numFmtId="0" fontId="16" fillId="0" borderId="7" xfId="0" applyFont="1" applyBorder="1" applyAlignment="1">
      <alignment horizontal="center" wrapText="1"/>
    </xf>
    <xf numFmtId="0" fontId="16" fillId="0" borderId="8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16" fillId="0" borderId="14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0" fontId="16" fillId="0" borderId="35" xfId="0" applyFont="1" applyBorder="1" applyAlignment="1">
      <alignment horizontal="center" wrapText="1"/>
    </xf>
    <xf numFmtId="0" fontId="16" fillId="0" borderId="15" xfId="0" applyFont="1" applyBorder="1" applyAlignment="1">
      <alignment horizontal="center" wrapText="1"/>
    </xf>
    <xf numFmtId="0" fontId="16" fillId="0" borderId="36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35" xfId="0" applyNumberFormat="1" applyFont="1" applyBorder="1" applyAlignment="1">
      <alignment horizontal="center"/>
    </xf>
    <xf numFmtId="1" fontId="1" fillId="0" borderId="36" xfId="0" applyNumberFormat="1" applyFont="1" applyBorder="1" applyAlignment="1">
      <alignment horizontal="center"/>
    </xf>
    <xf numFmtId="0" fontId="1" fillId="8" borderId="45" xfId="0" applyFont="1" applyFill="1" applyBorder="1" applyAlignment="1">
      <alignment horizontal="center" vertical="center"/>
    </xf>
    <xf numFmtId="0" fontId="1" fillId="8" borderId="88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9" borderId="35" xfId="0" applyFont="1" applyFill="1" applyBorder="1" applyAlignment="1">
      <alignment horizontal="center" vertical="center" wrapText="1"/>
    </xf>
    <xf numFmtId="0" fontId="3" fillId="9" borderId="15" xfId="0" applyFont="1" applyFill="1" applyBorder="1" applyAlignment="1">
      <alignment horizontal="center" vertical="center" wrapText="1"/>
    </xf>
    <xf numFmtId="0" fontId="1" fillId="9" borderId="29" xfId="0" applyFont="1" applyFill="1" applyBorder="1" applyAlignment="1">
      <alignment horizontal="left"/>
    </xf>
    <xf numFmtId="0" fontId="1" fillId="9" borderId="53" xfId="0" applyFont="1" applyFill="1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9" borderId="87" xfId="0" applyFont="1" applyFill="1" applyBorder="1" applyAlignment="1">
      <alignment horizontal="left"/>
    </xf>
    <xf numFmtId="0" fontId="1" fillId="9" borderId="85" xfId="0" applyFont="1" applyFill="1" applyBorder="1" applyAlignment="1">
      <alignment horizontal="left"/>
    </xf>
    <xf numFmtId="0" fontId="0" fillId="0" borderId="18" xfId="0" applyBorder="1" applyAlignment="1">
      <alignment horizontal="left"/>
    </xf>
    <xf numFmtId="0" fontId="3" fillId="9" borderId="9" xfId="0" applyFont="1" applyFill="1" applyBorder="1" applyAlignment="1">
      <alignment horizontal="center" vertical="center" wrapText="1"/>
    </xf>
    <xf numFmtId="0" fontId="3" fillId="9" borderId="36" xfId="0" applyFont="1" applyFill="1" applyBorder="1" applyAlignment="1">
      <alignment horizontal="center" vertical="center" wrapText="1"/>
    </xf>
    <xf numFmtId="0" fontId="1" fillId="9" borderId="25" xfId="0" applyFont="1" applyFill="1" applyBorder="1" applyAlignment="1">
      <alignment horizontal="center"/>
    </xf>
    <xf numFmtId="0" fontId="1" fillId="9" borderId="27" xfId="0" applyFont="1" applyFill="1" applyBorder="1" applyAlignment="1">
      <alignment horizontal="center"/>
    </xf>
    <xf numFmtId="4" fontId="1" fillId="5" borderId="20" xfId="0" applyNumberFormat="1" applyFont="1" applyFill="1" applyBorder="1" applyAlignment="1" applyProtection="1">
      <alignment horizontal="center" vertical="center"/>
      <protection locked="0"/>
    </xf>
    <xf numFmtId="4" fontId="1" fillId="5" borderId="21" xfId="0" applyNumberFormat="1" applyFont="1" applyFill="1" applyBorder="1" applyAlignment="1" applyProtection="1">
      <alignment horizontal="center" vertical="center"/>
      <protection locked="0"/>
    </xf>
    <xf numFmtId="4" fontId="1" fillId="5" borderId="22" xfId="0" applyNumberFormat="1" applyFont="1" applyFill="1" applyBorder="1" applyAlignment="1" applyProtection="1">
      <alignment horizontal="center" vertical="center"/>
      <protection locked="0"/>
    </xf>
    <xf numFmtId="4" fontId="1" fillId="5" borderId="24" xfId="0" applyNumberFormat="1" applyFont="1" applyFill="1" applyBorder="1" applyAlignment="1" applyProtection="1">
      <alignment horizontal="center" vertical="center"/>
      <protection locked="0"/>
    </xf>
    <xf numFmtId="0" fontId="26" fillId="9" borderId="7" xfId="0" applyFont="1" applyFill="1" applyBorder="1" applyAlignment="1">
      <alignment horizontal="center" vertical="center" wrapText="1"/>
    </xf>
    <xf numFmtId="0" fontId="26" fillId="9" borderId="8" xfId="0" applyFont="1" applyFill="1" applyBorder="1" applyAlignment="1">
      <alignment horizontal="center" vertical="center" wrapText="1"/>
    </xf>
    <xf numFmtId="0" fontId="26" fillId="9" borderId="9" xfId="0" applyFont="1" applyFill="1" applyBorder="1" applyAlignment="1">
      <alignment horizontal="center" vertical="center" wrapText="1"/>
    </xf>
    <xf numFmtId="0" fontId="26" fillId="9" borderId="35" xfId="0" applyFont="1" applyFill="1" applyBorder="1" applyAlignment="1">
      <alignment horizontal="center" vertical="center" wrapText="1"/>
    </xf>
    <xf numFmtId="0" fontId="26" fillId="9" borderId="15" xfId="0" applyFont="1" applyFill="1" applyBorder="1" applyAlignment="1">
      <alignment horizontal="center" vertical="center" wrapText="1"/>
    </xf>
    <xf numFmtId="0" fontId="26" fillId="9" borderId="36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left"/>
    </xf>
    <xf numFmtId="0" fontId="0" fillId="0" borderId="76" xfId="0" applyBorder="1" applyAlignment="1">
      <alignment horizontal="left"/>
    </xf>
    <xf numFmtId="0" fontId="1" fillId="9" borderId="18" xfId="0" applyFont="1" applyFill="1" applyBorder="1" applyAlignment="1">
      <alignment horizontal="left"/>
    </xf>
    <xf numFmtId="0" fontId="1" fillId="9" borderId="16" xfId="0" applyFont="1" applyFill="1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19" fillId="14" borderId="1" xfId="0" applyFont="1" applyFill="1" applyBorder="1" applyAlignment="1">
      <alignment horizontal="center"/>
    </xf>
    <xf numFmtId="0" fontId="1" fillId="9" borderId="25" xfId="0" applyFont="1" applyFill="1" applyBorder="1" applyAlignment="1">
      <alignment horizontal="left"/>
    </xf>
    <xf numFmtId="0" fontId="0" fillId="5" borderId="26" xfId="0" applyFill="1" applyBorder="1" applyAlignment="1" applyProtection="1">
      <alignment horizontal="center" vertical="center" wrapText="1"/>
      <protection locked="0"/>
    </xf>
    <xf numFmtId="0" fontId="0" fillId="5" borderId="27" xfId="0" applyFill="1" applyBorder="1" applyAlignment="1" applyProtection="1">
      <alignment horizontal="center" vertical="center" wrapText="1"/>
      <protection locked="0"/>
    </xf>
    <xf numFmtId="14" fontId="0" fillId="5" borderId="2" xfId="0" applyNumberFormat="1" applyFill="1" applyBorder="1" applyAlignment="1" applyProtection="1">
      <alignment horizontal="center" vertical="center" wrapText="1"/>
      <protection locked="0"/>
    </xf>
    <xf numFmtId="0" fontId="0" fillId="5" borderId="21" xfId="0" applyFill="1" applyBorder="1" applyAlignment="1" applyProtection="1">
      <alignment horizontal="center" vertical="center" wrapText="1"/>
      <protection locked="0"/>
    </xf>
    <xf numFmtId="0" fontId="0" fillId="5" borderId="23" xfId="0" applyFill="1" applyBorder="1" applyAlignment="1" applyProtection="1">
      <alignment horizontal="center" vertical="center" wrapText="1"/>
      <protection locked="0"/>
    </xf>
    <xf numFmtId="0" fontId="0" fillId="5" borderId="24" xfId="0" applyFill="1" applyBorder="1" applyAlignment="1" applyProtection="1">
      <alignment horizontal="center" vertical="center" wrapText="1"/>
      <protection locked="0"/>
    </xf>
    <xf numFmtId="0" fontId="20" fillId="10" borderId="59" xfId="0" applyFont="1" applyFill="1" applyBorder="1" applyAlignment="1">
      <alignment horizontal="left" vertical="center" wrapText="1"/>
    </xf>
    <xf numFmtId="0" fontId="20" fillId="10" borderId="60" xfId="0" applyFont="1" applyFill="1" applyBorder="1" applyAlignment="1">
      <alignment horizontal="left" vertical="center" wrapText="1"/>
    </xf>
    <xf numFmtId="0" fontId="20" fillId="10" borderId="61" xfId="0" applyFont="1" applyFill="1" applyBorder="1" applyAlignment="1">
      <alignment horizontal="left" vertical="center" wrapText="1"/>
    </xf>
    <xf numFmtId="1" fontId="0" fillId="0" borderId="2" xfId="0" applyNumberFormat="1" applyBorder="1" applyAlignment="1">
      <alignment horizontal="center"/>
    </xf>
    <xf numFmtId="0" fontId="0" fillId="7" borderId="3" xfId="0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1" fillId="2" borderId="28" xfId="0" applyFont="1" applyFill="1" applyBorder="1" applyAlignment="1">
      <alignment horizontal="left"/>
    </xf>
    <xf numFmtId="0" fontId="1" fillId="2" borderId="29" xfId="0" applyFont="1" applyFill="1" applyBorder="1" applyAlignment="1">
      <alignment horizontal="left"/>
    </xf>
    <xf numFmtId="0" fontId="0" fillId="2" borderId="29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8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1" fontId="9" fillId="0" borderId="35" xfId="0" applyNumberFormat="1" applyFont="1" applyBorder="1" applyAlignment="1">
      <alignment horizontal="center" vertical="center"/>
    </xf>
    <xf numFmtId="1" fontId="9" fillId="0" borderId="36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E2300C"/>
      <color rgb="FF990033"/>
      <color rgb="FFDC38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2"/>
  <sheetViews>
    <sheetView workbookViewId="0">
      <selection activeCell="P31" sqref="P31"/>
    </sheetView>
  </sheetViews>
  <sheetFormatPr defaultColWidth="8.85546875" defaultRowHeight="15"/>
  <cols>
    <col min="1" max="1" width="3.5703125" customWidth="1"/>
    <col min="4" max="4" width="6.42578125" customWidth="1"/>
    <col min="5" max="5" width="5.42578125" customWidth="1"/>
    <col min="6" max="6" width="3.85546875" customWidth="1"/>
    <col min="9" max="9" width="7.140625" customWidth="1"/>
    <col min="10" max="10" width="4.140625" customWidth="1"/>
    <col min="12" max="12" width="2.140625" customWidth="1"/>
  </cols>
  <sheetData>
    <row r="2" spans="2:13" ht="14.45" customHeight="1">
      <c r="D2" s="271" t="s">
        <v>0</v>
      </c>
      <c r="E2" s="271"/>
      <c r="F2" s="271"/>
      <c r="G2" s="271"/>
      <c r="H2" s="271"/>
      <c r="I2" s="271"/>
      <c r="J2" s="271"/>
    </row>
    <row r="3" spans="2:13" ht="14.45" customHeight="1">
      <c r="D3" s="271"/>
      <c r="E3" s="271"/>
      <c r="F3" s="271"/>
      <c r="G3" s="271"/>
      <c r="H3" s="271"/>
      <c r="I3" s="271"/>
      <c r="J3" s="271"/>
    </row>
    <row r="4" spans="2:13" ht="2.4500000000000002" customHeight="1" thickBot="1"/>
    <row r="5" spans="2:13" ht="30.75" customHeight="1">
      <c r="B5" s="272" t="s">
        <v>1</v>
      </c>
      <c r="C5" s="273"/>
      <c r="D5" s="273"/>
      <c r="E5" s="274"/>
      <c r="G5" s="272" t="s">
        <v>2</v>
      </c>
      <c r="H5" s="273"/>
      <c r="I5" s="274"/>
      <c r="K5" s="272" t="s">
        <v>3</v>
      </c>
      <c r="L5" s="273"/>
      <c r="M5" s="274"/>
    </row>
    <row r="6" spans="2:13" ht="15.75" thickBot="1">
      <c r="B6" s="275"/>
      <c r="C6" s="276"/>
      <c r="D6" s="276"/>
      <c r="E6" s="277"/>
      <c r="G6" s="275"/>
      <c r="H6" s="276"/>
      <c r="I6" s="277"/>
      <c r="K6" s="275"/>
      <c r="L6" s="276"/>
      <c r="M6" s="277"/>
    </row>
    <row r="7" spans="2:13">
      <c r="B7" s="278" t="s">
        <v>4</v>
      </c>
      <c r="C7" s="279"/>
      <c r="D7" s="155" t="s">
        <v>5</v>
      </c>
      <c r="E7" s="19" t="s">
        <v>6</v>
      </c>
      <c r="G7" s="280" t="s">
        <v>4</v>
      </c>
      <c r="H7" s="281"/>
      <c r="I7" s="282"/>
      <c r="K7" s="280" t="s">
        <v>4</v>
      </c>
      <c r="L7" s="281"/>
      <c r="M7" s="282"/>
    </row>
    <row r="8" spans="2:13">
      <c r="B8" s="283" t="s">
        <v>7</v>
      </c>
      <c r="C8" s="284"/>
      <c r="D8" s="157"/>
      <c r="E8" s="157"/>
      <c r="G8" s="283" t="s">
        <v>7</v>
      </c>
      <c r="H8" s="284"/>
      <c r="I8" s="156"/>
      <c r="K8" s="283" t="s">
        <v>8</v>
      </c>
      <c r="L8" s="284"/>
      <c r="M8" s="156"/>
    </row>
    <row r="9" spans="2:13">
      <c r="B9" s="285" t="s">
        <v>9</v>
      </c>
      <c r="C9" s="285"/>
      <c r="D9" s="1"/>
      <c r="E9" s="1"/>
      <c r="G9" s="285" t="s">
        <v>9</v>
      </c>
      <c r="H9" s="285"/>
      <c r="I9" s="1"/>
      <c r="K9" s="285" t="s">
        <v>10</v>
      </c>
      <c r="L9" s="285"/>
      <c r="M9" s="1"/>
    </row>
    <row r="10" spans="2:13">
      <c r="B10" s="285" t="s">
        <v>11</v>
      </c>
      <c r="C10" s="285"/>
      <c r="D10" s="1"/>
      <c r="E10" s="1"/>
      <c r="G10" s="285" t="s">
        <v>11</v>
      </c>
      <c r="H10" s="285"/>
      <c r="I10" s="1"/>
      <c r="K10" s="285" t="s">
        <v>12</v>
      </c>
      <c r="L10" s="285"/>
      <c r="M10" s="1"/>
    </row>
    <row r="11" spans="2:13">
      <c r="B11" s="285" t="s">
        <v>13</v>
      </c>
      <c r="C11" s="283"/>
      <c r="D11" s="57"/>
      <c r="E11" s="1"/>
      <c r="G11" s="285" t="s">
        <v>13</v>
      </c>
      <c r="H11" s="285"/>
      <c r="I11" s="1"/>
      <c r="K11" s="285" t="s">
        <v>14</v>
      </c>
      <c r="L11" s="285"/>
      <c r="M11" s="1"/>
    </row>
    <row r="12" spans="2:13">
      <c r="B12" s="285" t="s">
        <v>15</v>
      </c>
      <c r="C12" s="283"/>
      <c r="D12" s="57"/>
      <c r="E12" s="1"/>
      <c r="G12" s="285" t="s">
        <v>15</v>
      </c>
      <c r="H12" s="285"/>
      <c r="I12" s="1"/>
      <c r="K12" s="285" t="s">
        <v>16</v>
      </c>
      <c r="L12" s="285"/>
      <c r="M12" s="1"/>
    </row>
    <row r="13" spans="2:13">
      <c r="B13" s="285" t="s">
        <v>17</v>
      </c>
      <c r="C13" s="283"/>
      <c r="D13" s="57"/>
      <c r="E13" s="1"/>
      <c r="G13" s="285" t="s">
        <v>17</v>
      </c>
      <c r="H13" s="285"/>
      <c r="I13" s="1"/>
      <c r="K13" s="285" t="s">
        <v>18</v>
      </c>
      <c r="L13" s="285"/>
      <c r="M13" s="1"/>
    </row>
    <row r="14" spans="2:13">
      <c r="B14" s="285" t="s">
        <v>19</v>
      </c>
      <c r="C14" s="283"/>
      <c r="D14" s="57"/>
      <c r="E14" s="1"/>
      <c r="G14" s="285" t="s">
        <v>19</v>
      </c>
      <c r="H14" s="285"/>
      <c r="I14" s="1"/>
      <c r="K14" s="285" t="s">
        <v>20</v>
      </c>
      <c r="L14" s="285"/>
      <c r="M14" s="1"/>
    </row>
    <row r="15" spans="2:13">
      <c r="B15" s="285" t="s">
        <v>21</v>
      </c>
      <c r="C15" s="283"/>
      <c r="D15" s="57"/>
      <c r="E15" s="1"/>
      <c r="G15" s="285" t="s">
        <v>21</v>
      </c>
      <c r="H15" s="285"/>
      <c r="I15" s="1"/>
      <c r="K15" s="285" t="s">
        <v>22</v>
      </c>
      <c r="L15" s="285"/>
      <c r="M15" s="1"/>
    </row>
    <row r="16" spans="2:13">
      <c r="B16" s="285" t="s">
        <v>23</v>
      </c>
      <c r="C16" s="283"/>
      <c r="D16" s="57"/>
      <c r="E16" s="1"/>
      <c r="G16" s="285" t="s">
        <v>23</v>
      </c>
      <c r="H16" s="285"/>
      <c r="I16" s="1"/>
      <c r="K16" s="285" t="s">
        <v>24</v>
      </c>
      <c r="L16" s="285"/>
      <c r="M16" s="1"/>
    </row>
    <row r="17" spans="1:13">
      <c r="B17" s="285" t="s">
        <v>25</v>
      </c>
      <c r="C17" s="283"/>
      <c r="D17" s="57"/>
      <c r="E17" s="1"/>
      <c r="G17" s="285" t="s">
        <v>25</v>
      </c>
      <c r="H17" s="285"/>
      <c r="I17" s="1"/>
      <c r="K17" s="285" t="s">
        <v>26</v>
      </c>
      <c r="L17" s="285"/>
      <c r="M17" s="1"/>
    </row>
    <row r="18" spans="1:13">
      <c r="B18" s="283" t="s">
        <v>27</v>
      </c>
      <c r="C18" s="284"/>
      <c r="D18" s="57"/>
      <c r="E18" s="1"/>
      <c r="G18" s="283" t="s">
        <v>27</v>
      </c>
      <c r="H18" s="284"/>
      <c r="I18" s="1"/>
      <c r="K18" s="283" t="s">
        <v>28</v>
      </c>
      <c r="L18" s="284"/>
      <c r="M18" s="1"/>
    </row>
    <row r="19" spans="1:13">
      <c r="B19" s="285" t="s">
        <v>29</v>
      </c>
      <c r="C19" s="283"/>
      <c r="D19" s="57"/>
      <c r="E19" s="1"/>
      <c r="G19" s="285" t="s">
        <v>29</v>
      </c>
      <c r="H19" s="285"/>
      <c r="I19" s="1"/>
      <c r="K19" s="285" t="s">
        <v>30</v>
      </c>
      <c r="L19" s="285"/>
      <c r="M19" s="1"/>
    </row>
    <row r="20" spans="1:13">
      <c r="B20" s="285" t="s">
        <v>31</v>
      </c>
      <c r="C20" s="283"/>
      <c r="D20" s="57"/>
      <c r="E20" s="1"/>
      <c r="G20" s="285" t="s">
        <v>31</v>
      </c>
      <c r="H20" s="285"/>
      <c r="I20" s="1"/>
      <c r="K20" s="285" t="s">
        <v>32</v>
      </c>
      <c r="L20" s="285"/>
      <c r="M20" s="1"/>
    </row>
    <row r="21" spans="1:13">
      <c r="B21" s="285" t="s">
        <v>33</v>
      </c>
      <c r="C21" s="283"/>
      <c r="D21" s="57"/>
      <c r="E21" s="1"/>
      <c r="G21" s="285" t="s">
        <v>33</v>
      </c>
      <c r="H21" s="285"/>
      <c r="I21" s="1"/>
      <c r="K21" s="285" t="s">
        <v>33</v>
      </c>
      <c r="L21" s="285"/>
      <c r="M21" s="1"/>
    </row>
    <row r="22" spans="1:13">
      <c r="B22" s="285" t="s">
        <v>34</v>
      </c>
      <c r="C22" s="283"/>
      <c r="D22" s="57"/>
      <c r="E22" s="1"/>
      <c r="G22" s="285" t="s">
        <v>34</v>
      </c>
      <c r="H22" s="285"/>
      <c r="I22" s="1"/>
      <c r="K22" s="285" t="s">
        <v>35</v>
      </c>
      <c r="L22" s="285"/>
      <c r="M22" s="1"/>
    </row>
    <row r="23" spans="1:13">
      <c r="A23" s="286"/>
      <c r="B23" s="285" t="s">
        <v>36</v>
      </c>
      <c r="C23" s="283"/>
      <c r="D23" s="57"/>
      <c r="E23" s="1"/>
      <c r="F23" s="287"/>
      <c r="G23" s="285" t="s">
        <v>36</v>
      </c>
      <c r="H23" s="285"/>
      <c r="I23" s="1"/>
      <c r="K23" s="285" t="s">
        <v>37</v>
      </c>
      <c r="L23" s="285"/>
      <c r="M23" s="1"/>
    </row>
    <row r="24" spans="1:13" ht="14.45" customHeight="1">
      <c r="A24" s="286"/>
      <c r="B24" s="288" t="s">
        <v>38</v>
      </c>
      <c r="C24" s="289"/>
      <c r="D24" s="57"/>
      <c r="E24" s="1"/>
      <c r="F24" s="287"/>
      <c r="G24" s="285" t="s">
        <v>38</v>
      </c>
      <c r="H24" s="285"/>
      <c r="I24" s="1"/>
      <c r="K24" s="285" t="s">
        <v>39</v>
      </c>
      <c r="L24" s="285"/>
      <c r="M24" s="1"/>
    </row>
    <row r="25" spans="1:13" ht="14.45" customHeight="1">
      <c r="A25" s="286"/>
      <c r="B25" s="290" t="s">
        <v>40</v>
      </c>
      <c r="C25" s="290"/>
      <c r="D25" s="57"/>
      <c r="E25" s="1"/>
      <c r="F25" s="287"/>
      <c r="G25" s="290" t="s">
        <v>40</v>
      </c>
      <c r="H25" s="290"/>
      <c r="I25" s="1"/>
      <c r="K25" s="285" t="s">
        <v>41</v>
      </c>
      <c r="L25" s="285"/>
      <c r="M25" s="1"/>
    </row>
    <row r="26" spans="1:13">
      <c r="A26" s="286"/>
      <c r="B26" s="290" t="s">
        <v>42</v>
      </c>
      <c r="C26" s="290"/>
      <c r="D26" s="57"/>
      <c r="E26" s="1"/>
      <c r="F26" s="287"/>
      <c r="G26" s="290" t="s">
        <v>42</v>
      </c>
      <c r="H26" s="290"/>
      <c r="I26" s="1"/>
      <c r="K26" s="285" t="s">
        <v>43</v>
      </c>
      <c r="L26" s="285"/>
      <c r="M26" s="1"/>
    </row>
    <row r="27" spans="1:13">
      <c r="A27" s="286"/>
      <c r="B27" s="290" t="s">
        <v>44</v>
      </c>
      <c r="C27" s="290"/>
      <c r="D27" s="57"/>
      <c r="E27" s="1"/>
      <c r="F27" s="287"/>
      <c r="G27" s="290" t="s">
        <v>44</v>
      </c>
      <c r="H27" s="290"/>
      <c r="I27" s="1"/>
      <c r="K27" s="285" t="s">
        <v>45</v>
      </c>
      <c r="L27" s="285"/>
      <c r="M27" s="1"/>
    </row>
    <row r="28" spans="1:13">
      <c r="A28" s="286"/>
      <c r="B28" s="290" t="s">
        <v>46</v>
      </c>
      <c r="C28" s="290"/>
      <c r="D28" s="57"/>
      <c r="E28" s="1"/>
      <c r="F28" s="287"/>
      <c r="G28" s="290" t="s">
        <v>46</v>
      </c>
      <c r="H28" s="290"/>
      <c r="I28" s="1"/>
      <c r="K28" s="285" t="s">
        <v>47</v>
      </c>
      <c r="L28" s="285"/>
      <c r="M28" s="1"/>
    </row>
    <row r="29" spans="1:13" ht="60.6" customHeight="1">
      <c r="B29" s="291" t="s">
        <v>48</v>
      </c>
      <c r="C29" s="291"/>
      <c r="D29" s="291"/>
      <c r="E29" s="291"/>
      <c r="F29" s="236"/>
      <c r="G29" s="291" t="s">
        <v>49</v>
      </c>
      <c r="H29" s="291"/>
      <c r="I29" s="291"/>
      <c r="K29" s="291" t="s">
        <v>50</v>
      </c>
      <c r="L29" s="291"/>
      <c r="M29" s="291"/>
    </row>
    <row r="30" spans="1:13" ht="3.95" customHeight="1">
      <c r="A30" s="270"/>
      <c r="B30" s="292"/>
      <c r="C30" s="292"/>
      <c r="D30" s="292"/>
      <c r="E30" s="292"/>
      <c r="H30" s="270"/>
      <c r="K30" s="292"/>
      <c r="L30" s="292"/>
      <c r="M30" s="292"/>
    </row>
    <row r="31" spans="1:13" ht="15.75">
      <c r="C31" s="270" t="s">
        <v>192</v>
      </c>
      <c r="H31" s="270" t="s">
        <v>193</v>
      </c>
    </row>
    <row r="32" spans="1:13" ht="15.75">
      <c r="C32" s="270"/>
      <c r="H32" s="270" t="s">
        <v>194</v>
      </c>
    </row>
  </sheetData>
  <mergeCells count="75">
    <mergeCell ref="K26:L26"/>
    <mergeCell ref="B29:E30"/>
    <mergeCell ref="G29:I29"/>
    <mergeCell ref="K29:M30"/>
    <mergeCell ref="B27:C27"/>
    <mergeCell ref="G27:H27"/>
    <mergeCell ref="K27:L27"/>
    <mergeCell ref="B28:C28"/>
    <mergeCell ref="G28:H28"/>
    <mergeCell ref="K28:L28"/>
    <mergeCell ref="B22:C22"/>
    <mergeCell ref="G22:H22"/>
    <mergeCell ref="K22:L22"/>
    <mergeCell ref="A23:A28"/>
    <mergeCell ref="B23:C23"/>
    <mergeCell ref="F23:F28"/>
    <mergeCell ref="G23:H23"/>
    <mergeCell ref="K23:L23"/>
    <mergeCell ref="B24:C24"/>
    <mergeCell ref="G24:H24"/>
    <mergeCell ref="K24:L24"/>
    <mergeCell ref="B25:C25"/>
    <mergeCell ref="G25:H25"/>
    <mergeCell ref="K25:L25"/>
    <mergeCell ref="B26:C26"/>
    <mergeCell ref="G26:H26"/>
    <mergeCell ref="B20:C20"/>
    <mergeCell ref="G20:H20"/>
    <mergeCell ref="K20:L20"/>
    <mergeCell ref="B21:C21"/>
    <mergeCell ref="G21:H21"/>
    <mergeCell ref="K21:L21"/>
    <mergeCell ref="B18:C18"/>
    <mergeCell ref="G18:H18"/>
    <mergeCell ref="K18:L18"/>
    <mergeCell ref="B19:C19"/>
    <mergeCell ref="G19:H19"/>
    <mergeCell ref="K19:L19"/>
    <mergeCell ref="B16:C16"/>
    <mergeCell ref="G16:H16"/>
    <mergeCell ref="K16:L16"/>
    <mergeCell ref="B17:C17"/>
    <mergeCell ref="G17:H17"/>
    <mergeCell ref="K17:L17"/>
    <mergeCell ref="B14:C14"/>
    <mergeCell ref="G14:H14"/>
    <mergeCell ref="K14:L14"/>
    <mergeCell ref="B15:C15"/>
    <mergeCell ref="G15:H15"/>
    <mergeCell ref="K15:L15"/>
    <mergeCell ref="B12:C12"/>
    <mergeCell ref="G12:H12"/>
    <mergeCell ref="K12:L12"/>
    <mergeCell ref="B13:C13"/>
    <mergeCell ref="G13:H13"/>
    <mergeCell ref="K13:L13"/>
    <mergeCell ref="B10:C10"/>
    <mergeCell ref="G10:H10"/>
    <mergeCell ref="K10:L10"/>
    <mergeCell ref="B11:C11"/>
    <mergeCell ref="G11:H11"/>
    <mergeCell ref="K11:L11"/>
    <mergeCell ref="B8:C8"/>
    <mergeCell ref="G8:H8"/>
    <mergeCell ref="K8:L8"/>
    <mergeCell ref="B9:C9"/>
    <mergeCell ref="G9:H9"/>
    <mergeCell ref="K9:L9"/>
    <mergeCell ref="D2:J3"/>
    <mergeCell ref="B5:E6"/>
    <mergeCell ref="G5:I6"/>
    <mergeCell ref="K5:M6"/>
    <mergeCell ref="B7:C7"/>
    <mergeCell ref="G7:I7"/>
    <mergeCell ref="K7:M7"/>
  </mergeCells>
  <pageMargins left="0.25" right="0.25" top="0.75" bottom="0.75" header="0.3" footer="0.3"/>
  <pageSetup orientation="landscape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9"/>
  <sheetViews>
    <sheetView tabSelected="1" zoomScale="88" zoomScaleNormal="90" zoomScalePageLayoutView="90" workbookViewId="0">
      <selection activeCell="Q21" sqref="Q21"/>
    </sheetView>
  </sheetViews>
  <sheetFormatPr defaultColWidth="8.85546875" defaultRowHeight="15"/>
  <cols>
    <col min="2" max="2" width="8.85546875" customWidth="1"/>
    <col min="3" max="3" width="6.42578125" bestFit="1" customWidth="1"/>
    <col min="4" max="4" width="12.140625" bestFit="1" customWidth="1"/>
    <col min="5" max="5" width="11.42578125" customWidth="1"/>
    <col min="6" max="6" width="4.85546875" customWidth="1"/>
    <col min="8" max="8" width="8.42578125" customWidth="1"/>
    <col min="9" max="9" width="7.42578125" bestFit="1" customWidth="1"/>
    <col min="10" max="10" width="11.42578125" customWidth="1"/>
    <col min="11" max="11" width="12.140625" customWidth="1"/>
    <col min="12" max="12" width="3.42578125" customWidth="1"/>
    <col min="13" max="13" width="4.85546875" customWidth="1"/>
    <col min="15" max="15" width="9" customWidth="1"/>
    <col min="16" max="16" width="6.42578125" bestFit="1" customWidth="1"/>
    <col min="17" max="17" width="8.42578125" bestFit="1" customWidth="1"/>
    <col min="18" max="18" width="14.42578125" customWidth="1"/>
    <col min="19" max="19" width="2.85546875" customWidth="1"/>
    <col min="20" max="20" width="8.42578125" customWidth="1"/>
    <col min="21" max="22" width="8.42578125" hidden="1" customWidth="1"/>
    <col min="23" max="23" width="5.140625" hidden="1" customWidth="1"/>
    <col min="24" max="24" width="8.140625" hidden="1" customWidth="1"/>
    <col min="25" max="25" width="9.28515625" hidden="1" customWidth="1"/>
    <col min="26" max="26" width="13.42578125" hidden="1" customWidth="1"/>
    <col min="27" max="27" width="13.42578125" customWidth="1"/>
  </cols>
  <sheetData>
    <row r="1" spans="1:26" ht="15.75" customHeight="1" thickBot="1">
      <c r="A1" s="297" t="s">
        <v>51</v>
      </c>
      <c r="B1" s="297"/>
      <c r="C1" s="297"/>
      <c r="D1" s="297"/>
      <c r="K1" s="324" t="s">
        <v>52</v>
      </c>
      <c r="L1" s="324"/>
      <c r="M1" s="324"/>
      <c r="N1" s="324"/>
      <c r="O1" s="324"/>
      <c r="P1" s="324"/>
      <c r="Q1" s="324"/>
      <c r="R1" s="327"/>
      <c r="S1" s="327"/>
    </row>
    <row r="2" spans="1:26" ht="22.5" customHeight="1" thickBot="1">
      <c r="A2" s="314"/>
      <c r="B2" s="314"/>
      <c r="C2" s="314"/>
      <c r="D2" s="314"/>
      <c r="E2" s="61">
        <v>4500</v>
      </c>
      <c r="K2" s="325"/>
      <c r="L2" s="325"/>
      <c r="M2" s="325"/>
      <c r="N2" s="325"/>
      <c r="O2" s="325"/>
      <c r="P2" s="325"/>
      <c r="Q2" s="325"/>
      <c r="R2" s="61">
        <v>4500</v>
      </c>
      <c r="S2" s="328"/>
      <c r="T2" s="327"/>
    </row>
    <row r="3" spans="1:26">
      <c r="A3" s="2"/>
      <c r="B3" s="2"/>
      <c r="C3" s="2"/>
      <c r="R3" s="327"/>
      <c r="S3" s="327"/>
    </row>
    <row r="4" spans="1:26" ht="25.5" thickBot="1">
      <c r="A4" s="297" t="s">
        <v>53</v>
      </c>
      <c r="B4" s="297"/>
      <c r="C4" s="297"/>
      <c r="D4" s="297"/>
      <c r="E4" s="297"/>
      <c r="G4" s="297" t="s">
        <v>54</v>
      </c>
      <c r="H4" s="297"/>
      <c r="I4" s="297"/>
      <c r="J4" s="297"/>
      <c r="K4" s="297"/>
      <c r="N4" s="329" t="s">
        <v>55</v>
      </c>
      <c r="O4" s="329"/>
      <c r="P4" s="329"/>
      <c r="Q4" s="329"/>
      <c r="R4" s="329"/>
      <c r="S4" s="329"/>
      <c r="U4" s="297" t="s">
        <v>56</v>
      </c>
      <c r="V4" s="326"/>
      <c r="W4" s="326"/>
      <c r="X4" s="326"/>
      <c r="Y4" s="326"/>
      <c r="Z4" s="326"/>
    </row>
    <row r="5" spans="1:26">
      <c r="A5" s="278" t="s">
        <v>4</v>
      </c>
      <c r="B5" s="279"/>
      <c r="C5" s="155" t="s">
        <v>57</v>
      </c>
      <c r="D5" s="155" t="s">
        <v>58</v>
      </c>
      <c r="E5" s="19" t="s">
        <v>59</v>
      </c>
      <c r="G5" s="278" t="s">
        <v>4</v>
      </c>
      <c r="H5" s="279"/>
      <c r="I5" s="155" t="s">
        <v>57</v>
      </c>
      <c r="J5" s="155" t="s">
        <v>58</v>
      </c>
      <c r="K5" s="19" t="s">
        <v>59</v>
      </c>
      <c r="N5" s="301" t="s">
        <v>4</v>
      </c>
      <c r="O5" s="302"/>
      <c r="P5" s="155" t="s">
        <v>57</v>
      </c>
      <c r="Q5" s="155" t="s">
        <v>58</v>
      </c>
      <c r="R5" s="279" t="s">
        <v>60</v>
      </c>
      <c r="S5" s="321"/>
      <c r="U5" s="301" t="s">
        <v>4</v>
      </c>
      <c r="V5" s="302"/>
      <c r="W5" s="155" t="s">
        <v>57</v>
      </c>
      <c r="X5" s="155" t="s">
        <v>58</v>
      </c>
      <c r="Y5" s="240" t="s">
        <v>60</v>
      </c>
      <c r="Z5" s="33"/>
    </row>
    <row r="6" spans="1:26">
      <c r="A6" s="285" t="s">
        <v>7</v>
      </c>
      <c r="B6" s="285"/>
      <c r="C6" s="60">
        <f>ROUNDUP(((($E$2*1.35)/100)*'All Data'!I11),0)</f>
        <v>2</v>
      </c>
      <c r="D6" s="239">
        <v>0</v>
      </c>
      <c r="E6" s="60">
        <f>IF('All Data'!J11&lt;0,0,'All Data'!J11)</f>
        <v>2</v>
      </c>
      <c r="G6" s="285" t="s">
        <v>7</v>
      </c>
      <c r="H6" s="285"/>
      <c r="I6" s="60">
        <f>ROUNDUP(((($E$2*1.35)/100)*'All Data'!H30),0)</f>
        <v>2</v>
      </c>
      <c r="J6" s="239">
        <v>0</v>
      </c>
      <c r="K6" s="60">
        <f>IF('All Data'!I30&lt;0,0,'All Data'!I30)</f>
        <v>2</v>
      </c>
      <c r="N6" s="285" t="s">
        <v>7</v>
      </c>
      <c r="O6" s="285"/>
      <c r="P6" s="60">
        <f>ROUNDUP(((($E$2*1.35)/100)*'All Data'!I51),0)</f>
        <v>4</v>
      </c>
      <c r="Q6" s="239">
        <v>0</v>
      </c>
      <c r="R6" s="298">
        <f>IF('All Data'!J51&lt;0,0,'All Data'!J51)</f>
        <v>4</v>
      </c>
      <c r="S6" s="298"/>
      <c r="U6" s="285" t="s">
        <v>7</v>
      </c>
      <c r="V6" s="285"/>
      <c r="W6" s="60">
        <f>(C6*0.5)+I6+P6</f>
        <v>7</v>
      </c>
      <c r="X6" s="60">
        <f>(D6*0.5)+J6+Q6</f>
        <v>0</v>
      </c>
      <c r="Y6" s="60">
        <f t="shared" ref="Y6:Y22" si="0">ROUNDUP(IF((W6-X6)&lt;0,0,(W6-X6))+C25,0)</f>
        <v>7</v>
      </c>
      <c r="Z6" s="33"/>
    </row>
    <row r="7" spans="1:26">
      <c r="A7" s="285" t="s">
        <v>9</v>
      </c>
      <c r="B7" s="285"/>
      <c r="C7" s="60">
        <f>ROUNDUP(((($E$2*1.35)/100)*'All Data'!I12),0)</f>
        <v>3</v>
      </c>
      <c r="D7" s="239">
        <v>0</v>
      </c>
      <c r="E7" s="60">
        <f>IF('All Data'!J12&lt;0,0,'All Data'!J12)</f>
        <v>3</v>
      </c>
      <c r="G7" s="285" t="s">
        <v>9</v>
      </c>
      <c r="H7" s="285"/>
      <c r="I7" s="60">
        <f>ROUNDUP(((($E$2*1.35)/100)*'All Data'!H31),0)</f>
        <v>3</v>
      </c>
      <c r="J7" s="239">
        <v>0</v>
      </c>
      <c r="K7" s="60">
        <f>IF('All Data'!I31&lt;0,0,'All Data'!I31)</f>
        <v>3</v>
      </c>
      <c r="N7" s="285" t="s">
        <v>9</v>
      </c>
      <c r="O7" s="285"/>
      <c r="P7" s="60">
        <f>ROUNDUP(((($E$2*1.35)/100)*'All Data'!I52),0)+K48</f>
        <v>9</v>
      </c>
      <c r="Q7" s="239">
        <v>0</v>
      </c>
      <c r="R7" s="298">
        <f>IF('All Data'!J52&lt;0,0,'All Data'!J52)</f>
        <v>9</v>
      </c>
      <c r="S7" s="298"/>
      <c r="U7" s="285" t="s">
        <v>9</v>
      </c>
      <c r="V7" s="285"/>
      <c r="W7" s="60">
        <f t="shared" ref="W7:W22" si="1">(C7*0.5)+I7+P7</f>
        <v>13.5</v>
      </c>
      <c r="X7" s="60">
        <f>(D7*0.5)+J7+Q7</f>
        <v>0</v>
      </c>
      <c r="Y7" s="60">
        <f t="shared" si="0"/>
        <v>14</v>
      </c>
      <c r="Z7" s="32"/>
    </row>
    <row r="8" spans="1:26">
      <c r="A8" s="285" t="s">
        <v>11</v>
      </c>
      <c r="B8" s="285"/>
      <c r="C8" s="59">
        <f>ROUNDUP(((($E$2*1.35)/100)*'All Data'!I13),0)</f>
        <v>9</v>
      </c>
      <c r="D8" s="239">
        <v>0</v>
      </c>
      <c r="E8" s="59">
        <f>IF('All Data'!J13&lt;0,0,'All Data'!J13)</f>
        <v>9</v>
      </c>
      <c r="G8" s="285" t="s">
        <v>11</v>
      </c>
      <c r="H8" s="285"/>
      <c r="I8" s="59">
        <f>ROUNDUP(((($E$2*1.35)/100)*'All Data'!H32),0)</f>
        <v>13</v>
      </c>
      <c r="J8" s="239">
        <v>0</v>
      </c>
      <c r="K8" s="59">
        <f>IF('All Data'!I32&lt;0,0,'All Data'!I32)</f>
        <v>13</v>
      </c>
      <c r="N8" s="285" t="s">
        <v>11</v>
      </c>
      <c r="O8" s="285"/>
      <c r="P8" s="60">
        <f>ROUNDUP(((($E$2*1.35)/100)*'All Data'!I53),0)</f>
        <v>20</v>
      </c>
      <c r="Q8" s="239">
        <v>0</v>
      </c>
      <c r="R8" s="303">
        <f>IF('All Data'!J53&lt;0,0,'All Data'!J53)</f>
        <v>20</v>
      </c>
      <c r="S8" s="304"/>
      <c r="U8" s="285" t="s">
        <v>11</v>
      </c>
      <c r="V8" s="285"/>
      <c r="W8" s="60">
        <f t="shared" si="1"/>
        <v>37.5</v>
      </c>
      <c r="X8" s="60">
        <f t="shared" ref="X8:X22" si="2">(D8*0.5)+J8+Q8</f>
        <v>0</v>
      </c>
      <c r="Y8" s="59">
        <f t="shared" si="0"/>
        <v>38</v>
      </c>
    </row>
    <row r="9" spans="1:26">
      <c r="A9" s="285" t="s">
        <v>13</v>
      </c>
      <c r="B9" s="285"/>
      <c r="C9" s="59">
        <f>ROUNDUP(((($E$2*1.35)/100)*'All Data'!I14),0)</f>
        <v>5</v>
      </c>
      <c r="D9" s="239">
        <v>0</v>
      </c>
      <c r="E9" s="59">
        <f>IF('All Data'!J14&lt;0,0,'All Data'!J14)</f>
        <v>5</v>
      </c>
      <c r="G9" s="285" t="s">
        <v>13</v>
      </c>
      <c r="H9" s="285"/>
      <c r="I9" s="59">
        <f>ROUNDUP(((($E$2*1.35)/100)*'All Data'!H33),0)</f>
        <v>6</v>
      </c>
      <c r="J9" s="239">
        <v>0</v>
      </c>
      <c r="K9" s="59">
        <f>IF('All Data'!I33&lt;0,0,'All Data'!I33)</f>
        <v>6</v>
      </c>
      <c r="N9" s="285" t="s">
        <v>13</v>
      </c>
      <c r="O9" s="285"/>
      <c r="P9" s="60">
        <f>ROUNDUP(((($E$2*1.35)/100)*'All Data'!I54),0)</f>
        <v>8</v>
      </c>
      <c r="Q9" s="239">
        <v>0</v>
      </c>
      <c r="R9" s="303">
        <f>IF('All Data'!J54&lt;0,0,'All Data'!J54)</f>
        <v>8</v>
      </c>
      <c r="S9" s="304"/>
      <c r="U9" s="285" t="s">
        <v>13</v>
      </c>
      <c r="V9" s="285"/>
      <c r="W9" s="60">
        <f t="shared" si="1"/>
        <v>16.5</v>
      </c>
      <c r="X9" s="60">
        <f t="shared" si="2"/>
        <v>0</v>
      </c>
      <c r="Y9" s="59">
        <f t="shared" si="0"/>
        <v>17</v>
      </c>
    </row>
    <row r="10" spans="1:26">
      <c r="A10" s="285" t="s">
        <v>15</v>
      </c>
      <c r="B10" s="285"/>
      <c r="C10" s="59">
        <f>ROUNDUP(((($E$2*1.35)/100)*'All Data'!I15),0)</f>
        <v>2</v>
      </c>
      <c r="D10" s="239">
        <v>0</v>
      </c>
      <c r="E10" s="59">
        <f>IF('All Data'!J15&lt;0,0,'All Data'!J15)</f>
        <v>2</v>
      </c>
      <c r="G10" s="285" t="s">
        <v>15</v>
      </c>
      <c r="H10" s="285"/>
      <c r="I10" s="59">
        <f>ROUNDUP(((($E$2*1.35)/100)*'All Data'!H34),0)</f>
        <v>3</v>
      </c>
      <c r="J10" s="239">
        <v>0</v>
      </c>
      <c r="K10" s="59">
        <f>IF('All Data'!I34&lt;0,0,'All Data'!I34)</f>
        <v>3</v>
      </c>
      <c r="N10" s="285" t="s">
        <v>15</v>
      </c>
      <c r="O10" s="285"/>
      <c r="P10" s="60">
        <f>ROUNDUP(((($E$2*1.35)/100)*'All Data'!I55),0)</f>
        <v>5</v>
      </c>
      <c r="Q10" s="239">
        <v>0</v>
      </c>
      <c r="R10" s="303">
        <f>IF('All Data'!J55&lt;0,0,'All Data'!J55)</f>
        <v>5</v>
      </c>
      <c r="S10" s="304"/>
      <c r="U10" s="285" t="s">
        <v>15</v>
      </c>
      <c r="V10" s="285"/>
      <c r="W10" s="60">
        <f t="shared" si="1"/>
        <v>9</v>
      </c>
      <c r="X10" s="60">
        <f t="shared" si="2"/>
        <v>0</v>
      </c>
      <c r="Y10" s="59">
        <f t="shared" si="0"/>
        <v>9</v>
      </c>
    </row>
    <row r="11" spans="1:26">
      <c r="A11" s="285" t="s">
        <v>17</v>
      </c>
      <c r="B11" s="285"/>
      <c r="C11" s="59">
        <f>ROUNDUP(((($E$2*1.35)/100)*'All Data'!I16),0)</f>
        <v>9</v>
      </c>
      <c r="D11" s="239">
        <v>0</v>
      </c>
      <c r="E11" s="59">
        <f>IF('All Data'!J16&lt;0,0,'All Data'!J16)</f>
        <v>9</v>
      </c>
      <c r="G11" s="285" t="s">
        <v>17</v>
      </c>
      <c r="H11" s="285"/>
      <c r="I11" s="59">
        <f>ROUNDUP(((($E$2*1.35)/100)*'All Data'!H35),0)</f>
        <v>13</v>
      </c>
      <c r="J11" s="239">
        <v>0</v>
      </c>
      <c r="K11" s="59">
        <f>IF('All Data'!I35&lt;0,0,'All Data'!I35)</f>
        <v>13</v>
      </c>
      <c r="N11" s="285" t="s">
        <v>17</v>
      </c>
      <c r="O11" s="285"/>
      <c r="P11" s="60">
        <f>ROUNDUP(((($E$2*1.35)/100)*'All Data'!I56),0)</f>
        <v>22</v>
      </c>
      <c r="Q11" s="239">
        <v>0</v>
      </c>
      <c r="R11" s="303">
        <f>IF('All Data'!J56&lt;0,0,'All Data'!J56)</f>
        <v>22</v>
      </c>
      <c r="S11" s="304"/>
      <c r="U11" s="285" t="s">
        <v>17</v>
      </c>
      <c r="V11" s="285"/>
      <c r="W11" s="60">
        <f t="shared" si="1"/>
        <v>39.5</v>
      </c>
      <c r="X11" s="60">
        <f t="shared" si="2"/>
        <v>0</v>
      </c>
      <c r="Y11" s="59">
        <f t="shared" si="0"/>
        <v>40</v>
      </c>
    </row>
    <row r="12" spans="1:26">
      <c r="A12" s="285" t="s">
        <v>19</v>
      </c>
      <c r="B12" s="285"/>
      <c r="C12" s="59">
        <f>ROUNDUP(((($E$2*1.35)/100)*'All Data'!I17),0)</f>
        <v>4</v>
      </c>
      <c r="D12" s="239">
        <v>0</v>
      </c>
      <c r="E12" s="59">
        <f>IF('All Data'!J17&lt;0,0,'All Data'!J17)</f>
        <v>4</v>
      </c>
      <c r="G12" s="285" t="s">
        <v>19</v>
      </c>
      <c r="H12" s="285"/>
      <c r="I12" s="59">
        <f>ROUNDUP(((($E$2*1.35)/100)*'All Data'!H36),0)</f>
        <v>4</v>
      </c>
      <c r="J12" s="239">
        <v>0</v>
      </c>
      <c r="K12" s="59">
        <f>IF('All Data'!I36&lt;0,0,'All Data'!I36)</f>
        <v>4</v>
      </c>
      <c r="N12" s="285" t="s">
        <v>19</v>
      </c>
      <c r="O12" s="285"/>
      <c r="P12" s="60">
        <f>ROUNDUP(((($E$2*1.35)/100)*'All Data'!I57),0)</f>
        <v>9</v>
      </c>
      <c r="Q12" s="239">
        <v>0</v>
      </c>
      <c r="R12" s="303">
        <f>IF('All Data'!J57&lt;0,0,'All Data'!J57)</f>
        <v>9</v>
      </c>
      <c r="S12" s="304"/>
      <c r="U12" s="285" t="s">
        <v>19</v>
      </c>
      <c r="V12" s="285"/>
      <c r="W12" s="60">
        <f t="shared" si="1"/>
        <v>15</v>
      </c>
      <c r="X12" s="60">
        <f t="shared" si="2"/>
        <v>0</v>
      </c>
      <c r="Y12" s="59">
        <f t="shared" si="0"/>
        <v>15</v>
      </c>
    </row>
    <row r="13" spans="1:26">
      <c r="A13" s="285" t="s">
        <v>21</v>
      </c>
      <c r="B13" s="285"/>
      <c r="C13" s="59">
        <f>ROUNDUP(((($E$2*1.35)/100)*'All Data'!I18),0)</f>
        <v>3</v>
      </c>
      <c r="D13" s="239">
        <v>0</v>
      </c>
      <c r="E13" s="59">
        <f>IF('All Data'!J18&lt;0,0,'All Data'!J18)</f>
        <v>3</v>
      </c>
      <c r="G13" s="285" t="s">
        <v>21</v>
      </c>
      <c r="H13" s="285"/>
      <c r="I13" s="59">
        <f>ROUNDUP(((($E$2*1.35)/100)*'All Data'!H37),0)</f>
        <v>4</v>
      </c>
      <c r="J13" s="239">
        <v>0</v>
      </c>
      <c r="K13" s="59">
        <f>IF('All Data'!I37&lt;0,0,'All Data'!I37)</f>
        <v>4</v>
      </c>
      <c r="N13" s="285" t="s">
        <v>21</v>
      </c>
      <c r="O13" s="285"/>
      <c r="P13" s="60">
        <f>ROUNDUP(((($E$2*1.35)/100)*'All Data'!I58),0)+K48</f>
        <v>9</v>
      </c>
      <c r="Q13" s="239">
        <v>0</v>
      </c>
      <c r="R13" s="293">
        <f>IF('All Data'!J58&lt;0,0,'All Data'!J58)</f>
        <v>9</v>
      </c>
      <c r="S13" s="294"/>
      <c r="U13" s="285" t="s">
        <v>21</v>
      </c>
      <c r="V13" s="285"/>
      <c r="W13" s="60">
        <f t="shared" si="1"/>
        <v>14.5</v>
      </c>
      <c r="X13" s="60">
        <f t="shared" si="2"/>
        <v>0</v>
      </c>
      <c r="Y13" s="59">
        <f t="shared" si="0"/>
        <v>15</v>
      </c>
    </row>
    <row r="14" spans="1:26">
      <c r="A14" s="285" t="s">
        <v>23</v>
      </c>
      <c r="B14" s="285"/>
      <c r="C14" s="59">
        <f>ROUNDUP(((($E$2*1.35)/100)*'All Data'!I19),0)</f>
        <v>3</v>
      </c>
      <c r="D14" s="239">
        <v>0</v>
      </c>
      <c r="E14" s="59">
        <f>IF('All Data'!J19&lt;0,0,'All Data'!J19)</f>
        <v>3</v>
      </c>
      <c r="G14" s="285" t="s">
        <v>23</v>
      </c>
      <c r="H14" s="285"/>
      <c r="I14" s="59">
        <f>ROUNDUP(((($E$2*1.35)/100)*'All Data'!H38),0)</f>
        <v>2</v>
      </c>
      <c r="J14" s="239">
        <v>0</v>
      </c>
      <c r="K14" s="59">
        <f>IF('All Data'!I38&lt;0,0,'All Data'!I38)</f>
        <v>2</v>
      </c>
      <c r="N14" s="285" t="s">
        <v>23</v>
      </c>
      <c r="O14" s="285"/>
      <c r="P14" s="60">
        <f>ROUNDUP(((($E$2*1.35)/100)*'All Data'!I59),0)</f>
        <v>6</v>
      </c>
      <c r="Q14" s="239">
        <v>0</v>
      </c>
      <c r="R14" s="303">
        <f>IF('All Data'!J59&lt;0,0,'All Data'!J59)</f>
        <v>6</v>
      </c>
      <c r="S14" s="304"/>
      <c r="U14" s="285" t="s">
        <v>23</v>
      </c>
      <c r="V14" s="285"/>
      <c r="W14" s="60">
        <f t="shared" si="1"/>
        <v>9.5</v>
      </c>
      <c r="X14" s="60">
        <f>(D14*0.5)+J14+Q14</f>
        <v>0</v>
      </c>
      <c r="Y14" s="59">
        <f t="shared" si="0"/>
        <v>10</v>
      </c>
    </row>
    <row r="15" spans="1:26">
      <c r="A15" s="1" t="s">
        <v>25</v>
      </c>
      <c r="B15" s="1"/>
      <c r="C15" s="59">
        <f>ROUNDUP(((($E$2*1.35)/100)*'All Data'!I20),0)</f>
        <v>3</v>
      </c>
      <c r="D15" s="239">
        <v>0</v>
      </c>
      <c r="E15" s="59">
        <f>IF('All Data'!J20&lt;0,0,'All Data'!J20)</f>
        <v>3</v>
      </c>
      <c r="G15" s="285" t="s">
        <v>25</v>
      </c>
      <c r="H15" s="285"/>
      <c r="I15" s="59">
        <f>ROUNDUP(((($E$2*1.35)/100)*'All Data'!H39),0)</f>
        <v>3</v>
      </c>
      <c r="J15" s="239">
        <v>0</v>
      </c>
      <c r="K15" s="59">
        <f>IF('All Data'!I39&lt;0,0,'All Data'!I39)</f>
        <v>3</v>
      </c>
      <c r="N15" s="285" t="s">
        <v>25</v>
      </c>
      <c r="O15" s="285"/>
      <c r="P15" s="60">
        <f>ROUNDUP(((($E$2*1.35)/100)*'All Data'!I60),0)</f>
        <v>5</v>
      </c>
      <c r="Q15" s="239">
        <v>0</v>
      </c>
      <c r="R15" s="303">
        <f>IF('All Data'!J60&lt;0,0,'All Data'!J60)</f>
        <v>5</v>
      </c>
      <c r="S15" s="304"/>
      <c r="U15" s="285" t="s">
        <v>25</v>
      </c>
      <c r="V15" s="285"/>
      <c r="W15" s="60">
        <f t="shared" si="1"/>
        <v>9.5</v>
      </c>
      <c r="X15" s="60">
        <f t="shared" si="2"/>
        <v>0</v>
      </c>
      <c r="Y15" s="59">
        <f t="shared" si="0"/>
        <v>10</v>
      </c>
    </row>
    <row r="16" spans="1:26">
      <c r="A16" s="283" t="s">
        <v>27</v>
      </c>
      <c r="B16" s="284"/>
      <c r="C16" s="59">
        <f>ROUNDUP(((($E$2*1.35)/100)*'All Data'!I21),0)</f>
        <v>0</v>
      </c>
      <c r="D16" s="239">
        <v>0</v>
      </c>
      <c r="E16" s="59">
        <f>IF('All Data'!J21&lt;0,0,'All Data'!J21)</f>
        <v>0</v>
      </c>
      <c r="G16" s="283" t="s">
        <v>27</v>
      </c>
      <c r="H16" s="284"/>
      <c r="I16" s="59">
        <f>ROUNDUP(((($E$2*1.35)/100)*'All Data'!H40),0)</f>
        <v>0</v>
      </c>
      <c r="J16" s="239">
        <v>0</v>
      </c>
      <c r="K16" s="59">
        <f>IF('All Data'!I40&lt;0,0,'All Data'!I40)</f>
        <v>0</v>
      </c>
      <c r="N16" s="283" t="s">
        <v>27</v>
      </c>
      <c r="O16" s="284"/>
      <c r="P16" s="60">
        <f>ROUNDUP(((($E$2*1.35)/100)*'All Data'!I61),0)</f>
        <v>0</v>
      </c>
      <c r="Q16" s="239">
        <v>0</v>
      </c>
      <c r="R16" s="293">
        <f>IF('All Data'!J61&lt;0,0,'All Data'!J61)</f>
        <v>0</v>
      </c>
      <c r="S16" s="294"/>
      <c r="U16" s="283" t="s">
        <v>27</v>
      </c>
      <c r="V16" s="284"/>
      <c r="W16" s="60">
        <f t="shared" si="1"/>
        <v>0</v>
      </c>
      <c r="X16" s="60">
        <f t="shared" si="2"/>
        <v>0</v>
      </c>
      <c r="Y16" s="59">
        <f t="shared" si="0"/>
        <v>0</v>
      </c>
    </row>
    <row r="17" spans="1:25">
      <c r="A17" s="285" t="s">
        <v>29</v>
      </c>
      <c r="B17" s="285"/>
      <c r="C17" s="59">
        <f>ROUNDUP(((($E$2*1.35)/100)*'All Data'!I22),0)</f>
        <v>4</v>
      </c>
      <c r="D17" s="239">
        <v>0</v>
      </c>
      <c r="E17" s="59">
        <f>IF('All Data'!J22&lt;0,0,'All Data'!J22)</f>
        <v>4</v>
      </c>
      <c r="G17" s="285" t="s">
        <v>29</v>
      </c>
      <c r="H17" s="285"/>
      <c r="I17" s="59">
        <f>ROUNDUP(((($E$2*1.35)/100)*'All Data'!H41),0)</f>
        <v>4</v>
      </c>
      <c r="J17" s="239">
        <v>0</v>
      </c>
      <c r="K17" s="59">
        <f>IF('All Data'!I41&lt;0,0,'All Data'!I41)</f>
        <v>4</v>
      </c>
      <c r="N17" s="285" t="s">
        <v>29</v>
      </c>
      <c r="O17" s="285"/>
      <c r="P17" s="60">
        <f>ROUNDUP(((($E$2*1.35)/100)*'All Data'!I62),0)</f>
        <v>9</v>
      </c>
      <c r="Q17" s="239">
        <v>0</v>
      </c>
      <c r="R17" s="293">
        <f>IF('All Data'!J62&lt;0,0,'All Data'!J62)</f>
        <v>9</v>
      </c>
      <c r="S17" s="294"/>
      <c r="U17" s="285" t="s">
        <v>29</v>
      </c>
      <c r="V17" s="285"/>
      <c r="W17" s="60">
        <f t="shared" si="1"/>
        <v>15</v>
      </c>
      <c r="X17" s="60">
        <f t="shared" si="2"/>
        <v>0</v>
      </c>
      <c r="Y17" s="59">
        <f t="shared" si="0"/>
        <v>15</v>
      </c>
    </row>
    <row r="18" spans="1:25">
      <c r="A18" s="285" t="s">
        <v>31</v>
      </c>
      <c r="B18" s="285"/>
      <c r="C18" s="59">
        <f>ROUNDUP(((($E$2*1.35)/100)*'All Data'!I23),0)</f>
        <v>5</v>
      </c>
      <c r="D18" s="239">
        <v>0</v>
      </c>
      <c r="E18" s="59">
        <f>IF('All Data'!J23&lt;0,0,'All Data'!J23)</f>
        <v>5</v>
      </c>
      <c r="G18" s="285" t="s">
        <v>31</v>
      </c>
      <c r="H18" s="285"/>
      <c r="I18" s="59">
        <f>ROUNDUP(((($E$2*1.35)/100)*'All Data'!H42),0)</f>
        <v>5</v>
      </c>
      <c r="J18" s="239">
        <v>0</v>
      </c>
      <c r="K18" s="59">
        <f>IF('All Data'!I42&lt;0,0,'All Data'!I42)</f>
        <v>5</v>
      </c>
      <c r="N18" s="285" t="s">
        <v>31</v>
      </c>
      <c r="O18" s="285"/>
      <c r="P18" s="60">
        <f>ROUNDUP(((($E$2*1.35)/100)*'All Data'!I63),0)+K48</f>
        <v>13</v>
      </c>
      <c r="Q18" s="239">
        <v>0</v>
      </c>
      <c r="R18" s="293">
        <f>IF('All Data'!J63&lt;0,0,'All Data'!J63)</f>
        <v>13</v>
      </c>
      <c r="S18" s="294"/>
      <c r="U18" s="285" t="s">
        <v>31</v>
      </c>
      <c r="V18" s="285"/>
      <c r="W18" s="60">
        <f t="shared" si="1"/>
        <v>20.5</v>
      </c>
      <c r="X18" s="60">
        <f t="shared" si="2"/>
        <v>0</v>
      </c>
      <c r="Y18" s="59">
        <f t="shared" si="0"/>
        <v>21</v>
      </c>
    </row>
    <row r="19" spans="1:25">
      <c r="A19" s="285" t="s">
        <v>33</v>
      </c>
      <c r="B19" s="285"/>
      <c r="C19" s="59">
        <f>ROUNDUP(((($E$2*1.35)/100)*'All Data'!I24),0)</f>
        <v>3</v>
      </c>
      <c r="D19" s="239">
        <v>0</v>
      </c>
      <c r="E19" s="59">
        <f>IF('All Data'!J24&lt;0,0,'All Data'!J24)</f>
        <v>3</v>
      </c>
      <c r="G19" s="285" t="s">
        <v>33</v>
      </c>
      <c r="H19" s="285"/>
      <c r="I19" s="59">
        <f>ROUNDUP(((($E$2*1.35)/100)*'All Data'!H43),0)</f>
        <v>2</v>
      </c>
      <c r="J19" s="239">
        <v>0</v>
      </c>
      <c r="K19" s="59">
        <f>IF('All Data'!I43&lt;0,0,'All Data'!I43)</f>
        <v>2</v>
      </c>
      <c r="N19" s="285" t="s">
        <v>33</v>
      </c>
      <c r="O19" s="285"/>
      <c r="P19" s="60">
        <f>ROUNDUP(((($E$2*1.35)/100)*'All Data'!I64),0)</f>
        <v>4</v>
      </c>
      <c r="Q19" s="239">
        <v>0</v>
      </c>
      <c r="R19" s="293">
        <f>IF('All Data'!J64&lt;0,0,'All Data'!J64)</f>
        <v>4</v>
      </c>
      <c r="S19" s="294"/>
      <c r="U19" s="285" t="s">
        <v>33</v>
      </c>
      <c r="V19" s="285"/>
      <c r="W19" s="60">
        <f t="shared" si="1"/>
        <v>7.5</v>
      </c>
      <c r="X19" s="60">
        <f t="shared" si="2"/>
        <v>0</v>
      </c>
      <c r="Y19" s="59">
        <f t="shared" si="0"/>
        <v>8</v>
      </c>
    </row>
    <row r="20" spans="1:25">
      <c r="A20" s="285" t="s">
        <v>34</v>
      </c>
      <c r="B20" s="285"/>
      <c r="C20" s="59">
        <f>ROUNDUP(((($E$2*1.35)/100)*'All Data'!I25),0)</f>
        <v>3</v>
      </c>
      <c r="D20" s="239">
        <v>0</v>
      </c>
      <c r="E20" s="59">
        <f>IF('All Data'!J25&lt;0,0,'All Data'!J25)</f>
        <v>3</v>
      </c>
      <c r="G20" s="285" t="s">
        <v>34</v>
      </c>
      <c r="H20" s="285"/>
      <c r="I20" s="59">
        <f>ROUNDUP(((($E$2*1.35)/100)*'All Data'!H44),0)</f>
        <v>2</v>
      </c>
      <c r="J20" s="239">
        <v>0</v>
      </c>
      <c r="K20" s="59">
        <f>IF('All Data'!I44&lt;0,0,'All Data'!I44)</f>
        <v>2</v>
      </c>
      <c r="N20" s="285" t="s">
        <v>34</v>
      </c>
      <c r="O20" s="285"/>
      <c r="P20" s="60">
        <f>ROUNDUP(((($E$2*1.35)/100)*'All Data'!I65),0)</f>
        <v>4</v>
      </c>
      <c r="Q20" s="239">
        <v>0</v>
      </c>
      <c r="R20" s="293">
        <f>IF('All Data'!J65&lt;0,0,'All Data'!J65)</f>
        <v>4</v>
      </c>
      <c r="S20" s="294"/>
      <c r="U20" s="285" t="s">
        <v>34</v>
      </c>
      <c r="V20" s="285"/>
      <c r="W20" s="60">
        <f t="shared" si="1"/>
        <v>7.5</v>
      </c>
      <c r="X20" s="60">
        <f t="shared" si="2"/>
        <v>0</v>
      </c>
      <c r="Y20" s="59">
        <f t="shared" si="0"/>
        <v>8</v>
      </c>
    </row>
    <row r="21" spans="1:25">
      <c r="A21" s="285" t="s">
        <v>36</v>
      </c>
      <c r="B21" s="285"/>
      <c r="C21" s="59">
        <f>ROUNDUP(((($E$2*1.35)/100)*'All Data'!I26),0)</f>
        <v>4</v>
      </c>
      <c r="D21" s="239">
        <v>0</v>
      </c>
      <c r="E21" s="59">
        <f>IF('All Data'!J26&lt;0,0,'All Data'!J26)</f>
        <v>4</v>
      </c>
      <c r="G21" s="285" t="s">
        <v>36</v>
      </c>
      <c r="H21" s="285"/>
      <c r="I21" s="59">
        <f>ROUNDUP(((($E$2*1.35)/100)*'All Data'!H45),0)</f>
        <v>3</v>
      </c>
      <c r="J21" s="239">
        <v>0</v>
      </c>
      <c r="K21" s="59">
        <f>IF('All Data'!I45&lt;0,0,'All Data'!I45)</f>
        <v>3</v>
      </c>
      <c r="N21" s="285" t="s">
        <v>36</v>
      </c>
      <c r="O21" s="285"/>
      <c r="P21" s="60">
        <f>ROUNDUP(((($E$2*1.35)/100)*'All Data'!I66),0)</f>
        <v>3</v>
      </c>
      <c r="Q21" s="239">
        <v>0</v>
      </c>
      <c r="R21" s="303">
        <f>IF('All Data'!J66&lt;0,0,'All Data'!J66)</f>
        <v>3</v>
      </c>
      <c r="S21" s="304"/>
      <c r="U21" s="285" t="s">
        <v>36</v>
      </c>
      <c r="V21" s="285"/>
      <c r="W21" s="60">
        <f t="shared" si="1"/>
        <v>8</v>
      </c>
      <c r="X21" s="60">
        <f t="shared" si="2"/>
        <v>0</v>
      </c>
      <c r="Y21" s="59">
        <f t="shared" si="0"/>
        <v>8</v>
      </c>
    </row>
    <row r="22" spans="1:25">
      <c r="A22" s="285" t="s">
        <v>38</v>
      </c>
      <c r="B22" s="285"/>
      <c r="C22" s="59">
        <f>ROUNDUP(((($E$2*1.35)/100)*'All Data'!I27),0)</f>
        <v>2</v>
      </c>
      <c r="D22" s="239">
        <v>0</v>
      </c>
      <c r="E22" s="59">
        <f>IF('All Data'!J27&lt;0,0,'All Data'!J27)</f>
        <v>2</v>
      </c>
      <c r="G22" s="285" t="s">
        <v>38</v>
      </c>
      <c r="H22" s="285"/>
      <c r="I22" s="59">
        <f>ROUNDUP(((($E$2*1.35)/100)*'All Data'!H46),0)</f>
        <v>1</v>
      </c>
      <c r="J22" s="239">
        <v>0</v>
      </c>
      <c r="K22" s="59">
        <f>IF('All Data'!I46&lt;0,0,'All Data'!I46)</f>
        <v>1</v>
      </c>
      <c r="N22" s="285" t="s">
        <v>38</v>
      </c>
      <c r="O22" s="285"/>
      <c r="P22" s="60">
        <f>ROUNDUP(((($E$2*1.35)/100)*'All Data'!I67),0)</f>
        <v>2</v>
      </c>
      <c r="Q22" s="239">
        <v>0</v>
      </c>
      <c r="R22" s="303">
        <f>IF('All Data'!J67&lt;0,0,'All Data'!J67)</f>
        <v>2</v>
      </c>
      <c r="S22" s="304"/>
      <c r="U22" s="285" t="s">
        <v>38</v>
      </c>
      <c r="V22" s="285"/>
      <c r="W22" s="60">
        <f t="shared" si="1"/>
        <v>4</v>
      </c>
      <c r="X22" s="60">
        <f t="shared" si="2"/>
        <v>0</v>
      </c>
      <c r="Y22" s="59">
        <f t="shared" si="0"/>
        <v>4</v>
      </c>
    </row>
    <row r="23" spans="1:25" ht="15.75" thickBot="1">
      <c r="A23" s="16"/>
      <c r="B23" s="16"/>
      <c r="C23" s="16"/>
      <c r="D23" s="16"/>
      <c r="G23" s="16"/>
      <c r="H23" s="16"/>
    </row>
    <row r="24" spans="1:25" ht="25.5" customHeight="1" thickBot="1">
      <c r="A24" s="316" t="s">
        <v>61</v>
      </c>
      <c r="B24" s="317"/>
      <c r="C24" s="317"/>
      <c r="D24" s="318"/>
    </row>
    <row r="25" spans="1:25" ht="15.95" customHeight="1" thickBot="1">
      <c r="A25" s="299" t="s">
        <v>7</v>
      </c>
      <c r="B25" s="299"/>
      <c r="C25" s="300"/>
      <c r="D25" s="300"/>
      <c r="G25" s="308" t="s">
        <v>62</v>
      </c>
      <c r="H25" s="309"/>
      <c r="I25" s="158" t="s">
        <v>57</v>
      </c>
      <c r="J25" s="158" t="s">
        <v>58</v>
      </c>
      <c r="K25" s="158" t="s">
        <v>189</v>
      </c>
      <c r="L25" s="33"/>
    </row>
    <row r="26" spans="1:25" ht="15" customHeight="1">
      <c r="A26" s="307" t="s">
        <v>9</v>
      </c>
      <c r="B26" s="307"/>
      <c r="C26" s="305"/>
      <c r="D26" s="306"/>
      <c r="G26" s="307" t="s">
        <v>40</v>
      </c>
      <c r="H26" s="307"/>
      <c r="I26" s="248">
        <f>(((($E$2*1.35)/100)*'All Data'!J72)/'All Data'!K72)</f>
        <v>4.3061875856483542</v>
      </c>
      <c r="J26" s="93"/>
      <c r="K26" s="248">
        <f>IF(((I26-J26+C42)&lt;0),0,(I26-J26+(C42/5.63)))</f>
        <v>4.3061875856483542</v>
      </c>
      <c r="L26" s="32"/>
      <c r="N26" s="319" t="s">
        <v>63</v>
      </c>
      <c r="O26" s="319"/>
      <c r="P26" s="319"/>
      <c r="Q26" s="319"/>
    </row>
    <row r="27" spans="1:25">
      <c r="A27" s="285" t="s">
        <v>11</v>
      </c>
      <c r="B27" s="285"/>
      <c r="C27" s="295"/>
      <c r="D27" s="296"/>
      <c r="G27" s="285" t="s">
        <v>42</v>
      </c>
      <c r="H27" s="285"/>
      <c r="I27" s="248">
        <f>(((($E$2*1.35)/100)*'All Data'!J73)/'All Data'!K73)</f>
        <v>1.7330888885278137</v>
      </c>
      <c r="J27" s="239"/>
      <c r="K27" s="248">
        <f>IF(((I27-J27+C43)&lt;0),0,(I27-J27+(C43/8.785)))</f>
        <v>1.7330888885278137</v>
      </c>
      <c r="N27" s="319"/>
      <c r="O27" s="319"/>
      <c r="P27" s="319"/>
      <c r="Q27" s="319"/>
    </row>
    <row r="28" spans="1:25">
      <c r="A28" s="285" t="s">
        <v>13</v>
      </c>
      <c r="B28" s="285"/>
      <c r="C28" s="295"/>
      <c r="D28" s="296"/>
      <c r="G28" s="285" t="s">
        <v>44</v>
      </c>
      <c r="H28" s="285"/>
      <c r="I28" s="248">
        <f>(((($E$2*1.35)/100)*'All Data'!J74)/'All Data'!K74)</f>
        <v>4.2050021533753918</v>
      </c>
      <c r="J28" s="239"/>
      <c r="K28" s="248">
        <f>IF(((I28-J28+C44)&lt;0),0,(I28-J28+(C44/8.25)))</f>
        <v>4.2050021533753918</v>
      </c>
      <c r="N28" s="319"/>
      <c r="O28" s="319"/>
      <c r="P28" s="319"/>
      <c r="Q28" s="319"/>
    </row>
    <row r="29" spans="1:25">
      <c r="A29" s="285" t="s">
        <v>15</v>
      </c>
      <c r="B29" s="285"/>
      <c r="C29" s="295"/>
      <c r="D29" s="296"/>
      <c r="G29" s="285" t="s">
        <v>46</v>
      </c>
      <c r="H29" s="285"/>
      <c r="I29" s="248">
        <f>(((($E$2*1.35)/100)*'All Data'!J75)/'All Data'!K75)</f>
        <v>2.7275683065217127</v>
      </c>
      <c r="J29" s="239"/>
      <c r="K29" s="248">
        <f>IF(((I29-J29+C45)&lt;0),0,(I29-J29+(C45/6.79)))</f>
        <v>2.7275683065217127</v>
      </c>
    </row>
    <row r="30" spans="1:25">
      <c r="A30" s="285" t="s">
        <v>17</v>
      </c>
      <c r="B30" s="285"/>
      <c r="C30" s="295"/>
      <c r="D30" s="296"/>
    </row>
    <row r="31" spans="1:25" ht="15.75" thickBot="1">
      <c r="A31" s="285" t="s">
        <v>19</v>
      </c>
      <c r="B31" s="285"/>
      <c r="C31" s="295"/>
      <c r="D31" s="296"/>
    </row>
    <row r="32" spans="1:25" ht="15.75" thickBot="1">
      <c r="A32" s="285" t="s">
        <v>21</v>
      </c>
      <c r="B32" s="285"/>
      <c r="C32" s="295"/>
      <c r="D32" s="296"/>
      <c r="G32" s="322" t="s">
        <v>64</v>
      </c>
      <c r="H32" s="323"/>
      <c r="I32" s="13" t="s">
        <v>57</v>
      </c>
    </row>
    <row r="33" spans="1:11">
      <c r="A33" s="285" t="s">
        <v>23</v>
      </c>
      <c r="B33" s="285"/>
      <c r="C33" s="295"/>
      <c r="D33" s="296"/>
      <c r="G33" s="310" t="s">
        <v>65</v>
      </c>
      <c r="H33" s="310"/>
      <c r="I33" s="248">
        <f>Future!I26/2</f>
        <v>2.1530937928241771</v>
      </c>
    </row>
    <row r="34" spans="1:11">
      <c r="A34" s="285" t="s">
        <v>25</v>
      </c>
      <c r="B34" s="285"/>
      <c r="C34" s="295"/>
      <c r="D34" s="296"/>
      <c r="G34" s="298" t="s">
        <v>66</v>
      </c>
      <c r="H34" s="298"/>
      <c r="I34" s="249">
        <f>Future!I28/2</f>
        <v>2.1025010766876959</v>
      </c>
    </row>
    <row r="35" spans="1:11" ht="15.75" thickBot="1">
      <c r="A35" s="283" t="s">
        <v>27</v>
      </c>
      <c r="B35" s="284"/>
      <c r="C35" s="295"/>
      <c r="D35" s="296"/>
      <c r="G35" s="164"/>
      <c r="H35" s="164"/>
    </row>
    <row r="36" spans="1:11" ht="15.75" thickBot="1">
      <c r="A36" s="285" t="s">
        <v>29</v>
      </c>
      <c r="B36" s="285"/>
      <c r="C36" s="295"/>
      <c r="D36" s="296"/>
      <c r="G36" s="280" t="s">
        <v>67</v>
      </c>
      <c r="H36" s="313"/>
      <c r="I36" s="13" t="s">
        <v>57</v>
      </c>
      <c r="J36" s="67"/>
    </row>
    <row r="37" spans="1:11">
      <c r="A37" s="285" t="s">
        <v>31</v>
      </c>
      <c r="B37" s="285"/>
      <c r="C37" s="295"/>
      <c r="D37" s="296"/>
      <c r="F37" s="260"/>
      <c r="G37" s="311" t="s">
        <v>68</v>
      </c>
      <c r="H37" s="312"/>
      <c r="I37" s="248">
        <f>'All Data'!G85</f>
        <v>9</v>
      </c>
      <c r="J37" s="32"/>
    </row>
    <row r="38" spans="1:11">
      <c r="A38" s="285" t="s">
        <v>33</v>
      </c>
      <c r="B38" s="285"/>
      <c r="C38" s="295"/>
      <c r="D38" s="296"/>
      <c r="F38" s="260"/>
      <c r="G38" s="298" t="s">
        <v>69</v>
      </c>
      <c r="H38" s="298"/>
      <c r="I38" s="249">
        <f>'All Data'!G86</f>
        <v>9</v>
      </c>
    </row>
    <row r="39" spans="1:11">
      <c r="A39" s="285" t="s">
        <v>34</v>
      </c>
      <c r="B39" s="285"/>
      <c r="C39" s="295"/>
      <c r="D39" s="296"/>
      <c r="I39" s="17"/>
    </row>
    <row r="40" spans="1:11">
      <c r="A40" s="285" t="s">
        <v>36</v>
      </c>
      <c r="B40" s="285"/>
      <c r="C40" s="295"/>
      <c r="D40" s="296"/>
      <c r="I40" s="18"/>
    </row>
    <row r="41" spans="1:11">
      <c r="A41" s="285" t="s">
        <v>38</v>
      </c>
      <c r="B41" s="285"/>
      <c r="C41" s="295"/>
      <c r="D41" s="296"/>
    </row>
    <row r="42" spans="1:11">
      <c r="A42" s="315" t="s">
        <v>40</v>
      </c>
      <c r="B42" s="315"/>
      <c r="C42" s="320"/>
      <c r="D42" s="320"/>
    </row>
    <row r="43" spans="1:11">
      <c r="A43" s="315" t="s">
        <v>42</v>
      </c>
      <c r="B43" s="315"/>
      <c r="C43" s="320"/>
      <c r="D43" s="320"/>
    </row>
    <row r="44" spans="1:11">
      <c r="A44" s="315" t="s">
        <v>44</v>
      </c>
      <c r="B44" s="315"/>
      <c r="C44" s="320"/>
      <c r="D44" s="320"/>
    </row>
    <row r="45" spans="1:11">
      <c r="A45" s="315" t="s">
        <v>46</v>
      </c>
      <c r="B45" s="315"/>
      <c r="C45" s="320"/>
      <c r="D45" s="320"/>
    </row>
    <row r="47" spans="1:11" hidden="1"/>
    <row r="48" spans="1:11" hidden="1">
      <c r="K48">
        <f>ROUND((Y14/3),0)</f>
        <v>3</v>
      </c>
    </row>
    <row r="49" hidden="1"/>
  </sheetData>
  <sheetProtection algorithmName="SHA-512" hashValue="nVQr3Cl0XQruZ5n1PJecMTDkDjcXAkfqEBugoLU0T3ivDbjml3mBVZtLfHFQ42xmaonwUjePHMWsEyTpuTa1BQ==" saltValue="fnZmYcLDkGYtzMJHxPb7xQ==" spinCount="100000" sheet="1" objects="1" scenarios="1"/>
  <mergeCells count="153">
    <mergeCell ref="K1:Q2"/>
    <mergeCell ref="U4:Z4"/>
    <mergeCell ref="R8:S8"/>
    <mergeCell ref="R9:S9"/>
    <mergeCell ref="R10:S10"/>
    <mergeCell ref="R11:S11"/>
    <mergeCell ref="U17:V17"/>
    <mergeCell ref="U5:V5"/>
    <mergeCell ref="U7:V7"/>
    <mergeCell ref="U8:V8"/>
    <mergeCell ref="U9:V9"/>
    <mergeCell ref="U10:V10"/>
    <mergeCell ref="U11:V11"/>
    <mergeCell ref="U12:V12"/>
    <mergeCell ref="U13:V13"/>
    <mergeCell ref="R12:S12"/>
    <mergeCell ref="R1:S1"/>
    <mergeCell ref="S2:T2"/>
    <mergeCell ref="R3:S3"/>
    <mergeCell ref="N4:S4"/>
    <mergeCell ref="N15:O15"/>
    <mergeCell ref="N9:O9"/>
    <mergeCell ref="N10:O10"/>
    <mergeCell ref="N11:O11"/>
    <mergeCell ref="C45:D45"/>
    <mergeCell ref="A45:B45"/>
    <mergeCell ref="A44:B44"/>
    <mergeCell ref="R5:S5"/>
    <mergeCell ref="C40:D40"/>
    <mergeCell ref="C41:D41"/>
    <mergeCell ref="C42:D42"/>
    <mergeCell ref="C43:D43"/>
    <mergeCell ref="C44:D44"/>
    <mergeCell ref="C36:D36"/>
    <mergeCell ref="C37:D37"/>
    <mergeCell ref="C38:D38"/>
    <mergeCell ref="C39:D39"/>
    <mergeCell ref="C30:D30"/>
    <mergeCell ref="C31:D31"/>
    <mergeCell ref="C32:D32"/>
    <mergeCell ref="A34:B34"/>
    <mergeCell ref="A27:B27"/>
    <mergeCell ref="R7:S7"/>
    <mergeCell ref="A43:B43"/>
    <mergeCell ref="G28:H28"/>
    <mergeCell ref="G29:H29"/>
    <mergeCell ref="G32:H32"/>
    <mergeCell ref="G34:H34"/>
    <mergeCell ref="A1:D2"/>
    <mergeCell ref="R17:S17"/>
    <mergeCell ref="U14:V14"/>
    <mergeCell ref="U15:V15"/>
    <mergeCell ref="A40:B40"/>
    <mergeCell ref="A41:B41"/>
    <mergeCell ref="A42:B42"/>
    <mergeCell ref="N21:O21"/>
    <mergeCell ref="A24:D24"/>
    <mergeCell ref="U18:V18"/>
    <mergeCell ref="U20:V20"/>
    <mergeCell ref="U19:V19"/>
    <mergeCell ref="G19:H19"/>
    <mergeCell ref="N26:Q28"/>
    <mergeCell ref="A17:B17"/>
    <mergeCell ref="A18:B18"/>
    <mergeCell ref="R18:S18"/>
    <mergeCell ref="N17:O17"/>
    <mergeCell ref="A14:B14"/>
    <mergeCell ref="G16:H16"/>
    <mergeCell ref="A16:B16"/>
    <mergeCell ref="G38:H38"/>
    <mergeCell ref="G26:H26"/>
    <mergeCell ref="G27:H27"/>
    <mergeCell ref="G37:H37"/>
    <mergeCell ref="C27:D27"/>
    <mergeCell ref="A36:B36"/>
    <mergeCell ref="A37:B37"/>
    <mergeCell ref="A38:B38"/>
    <mergeCell ref="A39:B39"/>
    <mergeCell ref="A30:B30"/>
    <mergeCell ref="A31:B31"/>
    <mergeCell ref="C34:D34"/>
    <mergeCell ref="G36:H36"/>
    <mergeCell ref="C26:D26"/>
    <mergeCell ref="A26:B26"/>
    <mergeCell ref="A29:B29"/>
    <mergeCell ref="C28:D28"/>
    <mergeCell ref="C29:D29"/>
    <mergeCell ref="U22:V22"/>
    <mergeCell ref="C33:D33"/>
    <mergeCell ref="A32:B32"/>
    <mergeCell ref="A28:B28"/>
    <mergeCell ref="A33:B33"/>
    <mergeCell ref="G25:H25"/>
    <mergeCell ref="G33:H33"/>
    <mergeCell ref="R19:S19"/>
    <mergeCell ref="R20:S20"/>
    <mergeCell ref="G20:H20"/>
    <mergeCell ref="N20:O20"/>
    <mergeCell ref="A19:B19"/>
    <mergeCell ref="A20:B20"/>
    <mergeCell ref="A21:B21"/>
    <mergeCell ref="A22:B22"/>
    <mergeCell ref="U21:V21"/>
    <mergeCell ref="N22:O22"/>
    <mergeCell ref="G22:H22"/>
    <mergeCell ref="R21:S21"/>
    <mergeCell ref="R22:S22"/>
    <mergeCell ref="G21:H21"/>
    <mergeCell ref="N12:O12"/>
    <mergeCell ref="N13:O13"/>
    <mergeCell ref="G14:H14"/>
    <mergeCell ref="G15:H15"/>
    <mergeCell ref="N14:O14"/>
    <mergeCell ref="N5:O5"/>
    <mergeCell ref="N7:O7"/>
    <mergeCell ref="R13:S13"/>
    <mergeCell ref="R14:S14"/>
    <mergeCell ref="R15:S15"/>
    <mergeCell ref="A9:B9"/>
    <mergeCell ref="A10:B10"/>
    <mergeCell ref="A11:B11"/>
    <mergeCell ref="A12:B12"/>
    <mergeCell ref="A13:B13"/>
    <mergeCell ref="G4:K4"/>
    <mergeCell ref="G5:H5"/>
    <mergeCell ref="G8:H8"/>
    <mergeCell ref="G7:H7"/>
    <mergeCell ref="A7:B7"/>
    <mergeCell ref="A8:B8"/>
    <mergeCell ref="N16:O16"/>
    <mergeCell ref="U16:V16"/>
    <mergeCell ref="R16:S16"/>
    <mergeCell ref="A35:B35"/>
    <mergeCell ref="C35:D35"/>
    <mergeCell ref="A4:E4"/>
    <mergeCell ref="A5:B5"/>
    <mergeCell ref="A6:B6"/>
    <mergeCell ref="G6:H6"/>
    <mergeCell ref="N6:O6"/>
    <mergeCell ref="U6:V6"/>
    <mergeCell ref="R6:S6"/>
    <mergeCell ref="A25:B25"/>
    <mergeCell ref="C25:D25"/>
    <mergeCell ref="N8:O8"/>
    <mergeCell ref="G9:H9"/>
    <mergeCell ref="G10:H10"/>
    <mergeCell ref="G11:H11"/>
    <mergeCell ref="G12:H12"/>
    <mergeCell ref="G13:H13"/>
    <mergeCell ref="N19:O19"/>
    <mergeCell ref="N18:O18"/>
    <mergeCell ref="G17:H17"/>
    <mergeCell ref="G18:H18"/>
  </mergeCells>
  <pageMargins left="0.25" right="0.25" top="0" bottom="0.75" header="0.3" footer="0.3"/>
  <pageSetup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2"/>
  <sheetViews>
    <sheetView topLeftCell="A7" workbookViewId="0">
      <selection activeCell="H18" sqref="H18"/>
    </sheetView>
  </sheetViews>
  <sheetFormatPr defaultColWidth="8.85546875" defaultRowHeight="15"/>
  <cols>
    <col min="1" max="2" width="3.42578125" customWidth="1"/>
    <col min="3" max="3" width="5.42578125" customWidth="1"/>
    <col min="4" max="4" width="20.85546875" customWidth="1"/>
    <col min="5" max="5" width="12.140625" customWidth="1"/>
    <col min="6" max="6" width="4" customWidth="1"/>
    <col min="7" max="7" width="20" customWidth="1"/>
    <col min="8" max="8" width="6.42578125" bestFit="1" customWidth="1"/>
    <col min="9" max="9" width="15.42578125" bestFit="1" customWidth="1"/>
    <col min="10" max="10" width="9.42578125" customWidth="1"/>
    <col min="11" max="11" width="11" customWidth="1"/>
    <col min="12" max="12" width="12.42578125" bestFit="1" customWidth="1"/>
  </cols>
  <sheetData>
    <row r="1" spans="1:13">
      <c r="B1" s="58" t="s">
        <v>70</v>
      </c>
      <c r="C1" s="58"/>
      <c r="D1" s="75"/>
    </row>
    <row r="2" spans="1:13">
      <c r="B2" s="58"/>
      <c r="C2" s="58"/>
    </row>
    <row r="3" spans="1:13">
      <c r="B3" s="333" t="s">
        <v>71</v>
      </c>
      <c r="C3" s="333"/>
      <c r="D3" s="333"/>
      <c r="E3" s="82">
        <f>'Production Guide'!E2</f>
        <v>4500</v>
      </c>
      <c r="F3" s="82"/>
    </row>
    <row r="5" spans="1:13" ht="15.75" thickBot="1"/>
    <row r="6" spans="1:13" ht="15" customHeight="1" thickBot="1">
      <c r="A6" s="335" t="s">
        <v>72</v>
      </c>
      <c r="B6" s="336"/>
      <c r="C6" s="336"/>
      <c r="D6" s="336"/>
      <c r="E6" s="337"/>
      <c r="G6" s="76" t="s">
        <v>73</v>
      </c>
      <c r="H6" s="81" t="s">
        <v>74</v>
      </c>
      <c r="J6" s="26"/>
      <c r="K6" s="74"/>
      <c r="L6" s="74"/>
      <c r="M6" s="74"/>
    </row>
    <row r="7" spans="1:13" ht="14.45" customHeight="1">
      <c r="A7" s="338"/>
      <c r="B7" s="339"/>
      <c r="C7" s="339"/>
      <c r="D7" s="339"/>
      <c r="E7" s="340"/>
      <c r="G7" s="77" t="s">
        <v>75</v>
      </c>
      <c r="H7" s="71">
        <f>Future!AE5</f>
        <v>2.1530937928241771</v>
      </c>
      <c r="J7" s="26"/>
      <c r="K7" s="74"/>
      <c r="L7" s="74"/>
      <c r="M7" s="74"/>
    </row>
    <row r="8" spans="1:13" ht="18" customHeight="1" thickBot="1">
      <c r="A8" s="341"/>
      <c r="B8" s="342"/>
      <c r="C8" s="342"/>
      <c r="D8" s="342"/>
      <c r="E8" s="343"/>
      <c r="G8" s="78" t="s">
        <v>76</v>
      </c>
      <c r="H8" s="229">
        <f>Future!AE6</f>
        <v>1.7330888885278137</v>
      </c>
      <c r="I8" s="82"/>
      <c r="J8" s="24"/>
      <c r="K8" s="74"/>
      <c r="L8" s="74"/>
      <c r="M8" s="74"/>
    </row>
    <row r="9" spans="1:13" ht="18.75" thickBot="1">
      <c r="A9" s="47" t="s">
        <v>5</v>
      </c>
      <c r="B9" s="108" t="s">
        <v>6</v>
      </c>
      <c r="C9" s="106" t="s">
        <v>77</v>
      </c>
      <c r="D9" s="106" t="s">
        <v>4</v>
      </c>
      <c r="E9" s="105" t="s">
        <v>78</v>
      </c>
      <c r="G9" s="78" t="s">
        <v>79</v>
      </c>
      <c r="H9" s="42">
        <f>Future!AE7</f>
        <v>2.402858373357367</v>
      </c>
      <c r="I9" s="26"/>
      <c r="J9" s="24"/>
      <c r="K9" s="74"/>
      <c r="L9" s="74"/>
      <c r="M9" s="74"/>
    </row>
    <row r="10" spans="1:13" ht="18">
      <c r="A10" s="131">
        <f>'Production Guide'!E8</f>
        <v>9</v>
      </c>
      <c r="B10" s="132">
        <f>'Production Guide'!K8</f>
        <v>13</v>
      </c>
      <c r="C10" s="94" t="s">
        <v>80</v>
      </c>
      <c r="D10" s="28" t="s">
        <v>11</v>
      </c>
      <c r="E10" s="34">
        <f>'Production Guide'!Y8</f>
        <v>38</v>
      </c>
      <c r="G10" s="78" t="s">
        <v>81</v>
      </c>
      <c r="H10" s="42">
        <f>Future!AE8</f>
        <v>1.0910273226086851</v>
      </c>
      <c r="I10" s="26"/>
      <c r="J10" s="24"/>
      <c r="K10" s="23"/>
    </row>
    <row r="11" spans="1:13" ht="18.75" thickBot="1">
      <c r="A11" s="133">
        <f>'Production Guide'!E9</f>
        <v>5</v>
      </c>
      <c r="B11" s="134">
        <f>'Production Guide'!K9</f>
        <v>6</v>
      </c>
      <c r="C11" s="96" t="s">
        <v>80</v>
      </c>
      <c r="D11" s="1" t="s">
        <v>13</v>
      </c>
      <c r="E11" s="35">
        <f>'Production Guide'!Y9</f>
        <v>17</v>
      </c>
      <c r="G11" s="79" t="s">
        <v>82</v>
      </c>
      <c r="H11" s="62">
        <f>Future!AF9</f>
        <v>2</v>
      </c>
      <c r="I11" s="80"/>
      <c r="J11" s="24"/>
      <c r="K11" s="23"/>
    </row>
    <row r="12" spans="1:13" ht="18.75" thickBot="1">
      <c r="A12" s="101">
        <f>'Production Guide'!E17</f>
        <v>4</v>
      </c>
      <c r="B12" s="187">
        <f>'Production Guide'!K17</f>
        <v>4</v>
      </c>
      <c r="C12" s="95" t="s">
        <v>80</v>
      </c>
      <c r="D12" s="1" t="s">
        <v>29</v>
      </c>
      <c r="E12" s="35">
        <f>'Production Guide'!Y17</f>
        <v>15</v>
      </c>
      <c r="G12" s="73"/>
      <c r="H12" s="68"/>
      <c r="I12" s="80"/>
      <c r="J12" s="24"/>
      <c r="K12" s="23"/>
    </row>
    <row r="13" spans="1:13" ht="18.75" thickBot="1">
      <c r="A13" s="101">
        <f>'Production Guide'!E12</f>
        <v>4</v>
      </c>
      <c r="B13" s="187">
        <f>'Production Guide'!K12</f>
        <v>4</v>
      </c>
      <c r="C13" s="95" t="s">
        <v>80</v>
      </c>
      <c r="D13" s="1" t="s">
        <v>19</v>
      </c>
      <c r="E13" s="35">
        <f>'Production Guide'!Y12</f>
        <v>15</v>
      </c>
      <c r="G13" s="47" t="s">
        <v>67</v>
      </c>
      <c r="H13" s="65" t="s">
        <v>57</v>
      </c>
      <c r="I13" s="80"/>
      <c r="J13" s="24"/>
      <c r="K13" s="23"/>
    </row>
    <row r="14" spans="1:13" ht="18">
      <c r="A14" s="101">
        <f>'Production Guide'!E19</f>
        <v>3</v>
      </c>
      <c r="B14" s="187">
        <f>'Production Guide'!K19</f>
        <v>2</v>
      </c>
      <c r="C14" s="95" t="s">
        <v>80</v>
      </c>
      <c r="D14" s="1" t="s">
        <v>33</v>
      </c>
      <c r="E14" s="35">
        <f>'Production Guide'!Y19</f>
        <v>8</v>
      </c>
      <c r="G14" s="43" t="s">
        <v>68</v>
      </c>
      <c r="H14" s="51">
        <f>'All Data'!G85</f>
        <v>9</v>
      </c>
      <c r="I14" s="80"/>
      <c r="J14" s="24"/>
      <c r="K14" s="23"/>
    </row>
    <row r="15" spans="1:13" ht="18.75" thickBot="1">
      <c r="A15" s="101">
        <f>'Production Guide'!E10</f>
        <v>2</v>
      </c>
      <c r="B15" s="187">
        <f>'Production Guide'!K10</f>
        <v>3</v>
      </c>
      <c r="C15" s="95" t="s">
        <v>80</v>
      </c>
      <c r="D15" s="1" t="s">
        <v>15</v>
      </c>
      <c r="E15" s="35">
        <f>'Production Guide'!Y10</f>
        <v>9</v>
      </c>
      <c r="G15" s="44" t="s">
        <v>69</v>
      </c>
      <c r="H15" s="83">
        <f>'All Data'!G86</f>
        <v>9</v>
      </c>
      <c r="I15" s="64"/>
      <c r="J15" s="24"/>
      <c r="K15" s="23"/>
    </row>
    <row r="16" spans="1:13" ht="18">
      <c r="A16" s="102">
        <f>'Production Guide'!E16</f>
        <v>0</v>
      </c>
      <c r="B16" s="187">
        <f>'Production Guide'!K16</f>
        <v>0</v>
      </c>
      <c r="C16" s="109" t="s">
        <v>80</v>
      </c>
      <c r="D16" s="88" t="s">
        <v>27</v>
      </c>
      <c r="E16" s="35">
        <f>'Production Guide'!Y16</f>
        <v>0</v>
      </c>
      <c r="H16" s="152"/>
      <c r="I16" s="64"/>
      <c r="J16" s="24"/>
      <c r="K16" s="23"/>
    </row>
    <row r="17" spans="1:11" ht="18.75" thickBot="1">
      <c r="A17" s="102">
        <f>'Production Guide'!E15</f>
        <v>3</v>
      </c>
      <c r="B17" s="241">
        <f>'Production Guide'!K15</f>
        <v>3</v>
      </c>
      <c r="C17" s="97" t="s">
        <v>80</v>
      </c>
      <c r="D17" s="10" t="s">
        <v>83</v>
      </c>
      <c r="E17" s="36">
        <f>'Production Guide'!Y15</f>
        <v>10</v>
      </c>
      <c r="F17" s="17" t="s">
        <v>24</v>
      </c>
      <c r="I17" s="64"/>
      <c r="J17" s="24"/>
      <c r="K17" s="23"/>
    </row>
    <row r="18" spans="1:11" ht="18">
      <c r="A18" s="131">
        <f>'Production Guide'!E18</f>
        <v>5</v>
      </c>
      <c r="B18" s="135">
        <f>'Production Guide'!K18</f>
        <v>5</v>
      </c>
      <c r="C18" s="95" t="s">
        <v>84</v>
      </c>
      <c r="D18" s="130" t="s">
        <v>31</v>
      </c>
      <c r="E18" s="69">
        <f>'Production Guide'!Y18</f>
        <v>21</v>
      </c>
      <c r="F18" s="99">
        <f>E22/3</f>
        <v>3</v>
      </c>
      <c r="I18" s="80"/>
      <c r="J18" s="24"/>
      <c r="K18" s="23"/>
    </row>
    <row r="19" spans="1:11" ht="18">
      <c r="A19" s="133">
        <f>'Production Guide'!E11</f>
        <v>9</v>
      </c>
      <c r="B19" s="135">
        <f>'Production Guide'!K11</f>
        <v>13</v>
      </c>
      <c r="C19" s="95" t="s">
        <v>84</v>
      </c>
      <c r="D19" s="1" t="s">
        <v>17</v>
      </c>
      <c r="E19" s="70">
        <f>'Production Guide'!Y11</f>
        <v>40</v>
      </c>
      <c r="F19" s="67"/>
      <c r="I19" s="80"/>
      <c r="J19" s="24"/>
      <c r="K19" s="23"/>
    </row>
    <row r="20" spans="1:11" ht="18">
      <c r="A20" s="101">
        <f>'Production Guide'!E7</f>
        <v>3</v>
      </c>
      <c r="B20" s="187">
        <f>'Production Guide'!K7</f>
        <v>3</v>
      </c>
      <c r="C20" s="96" t="s">
        <v>84</v>
      </c>
      <c r="D20" s="1" t="s">
        <v>9</v>
      </c>
      <c r="E20" s="35">
        <f>'Production Guide'!Y7</f>
        <v>14</v>
      </c>
      <c r="F20" s="99">
        <f>E22/3</f>
        <v>3</v>
      </c>
      <c r="I20" s="87"/>
      <c r="J20" s="23"/>
    </row>
    <row r="21" spans="1:11" ht="18">
      <c r="A21" s="101">
        <f>'Production Guide'!E13</f>
        <v>3</v>
      </c>
      <c r="B21" s="187">
        <f>'Production Guide'!K13</f>
        <v>4</v>
      </c>
      <c r="C21" s="96" t="s">
        <v>84</v>
      </c>
      <c r="D21" s="1" t="s">
        <v>21</v>
      </c>
      <c r="E21" s="186">
        <f>'Production Guide'!Y13</f>
        <v>15</v>
      </c>
      <c r="F21" s="98">
        <f>E22/3</f>
        <v>3</v>
      </c>
      <c r="G21" s="32"/>
      <c r="I21" s="87"/>
      <c r="J21" s="23"/>
    </row>
    <row r="22" spans="1:11" ht="18">
      <c r="A22" s="101">
        <f>'Production Guide'!E14</f>
        <v>3</v>
      </c>
      <c r="B22" s="187">
        <f>'Production Guide'!K14</f>
        <v>2</v>
      </c>
      <c r="C22" s="96" t="s">
        <v>84</v>
      </c>
      <c r="D22" s="88" t="s">
        <v>23</v>
      </c>
      <c r="E22" s="35">
        <f>MROUND('Production Guide'!Y14,3)</f>
        <v>9</v>
      </c>
      <c r="I22" s="87"/>
      <c r="J22" s="23"/>
    </row>
    <row r="23" spans="1:11" ht="18">
      <c r="A23" s="101">
        <f>'Production Guide'!E6</f>
        <v>2</v>
      </c>
      <c r="B23" s="187">
        <f>'Production Guide'!K6</f>
        <v>2</v>
      </c>
      <c r="C23" s="96" t="s">
        <v>84</v>
      </c>
      <c r="D23" s="1" t="s">
        <v>7</v>
      </c>
      <c r="E23" s="35">
        <f>'Production Guide'!Y6</f>
        <v>7</v>
      </c>
      <c r="I23" s="87"/>
      <c r="J23" s="23"/>
    </row>
    <row r="24" spans="1:11" ht="18">
      <c r="A24" s="136">
        <f>'Production Guide'!E21</f>
        <v>4</v>
      </c>
      <c r="B24" s="135">
        <f>'Production Guide'!K21</f>
        <v>3</v>
      </c>
      <c r="C24" s="95" t="s">
        <v>84</v>
      </c>
      <c r="D24" s="1" t="s">
        <v>36</v>
      </c>
      <c r="E24" s="69">
        <f>'Production Guide'!Y21</f>
        <v>8</v>
      </c>
      <c r="H24" s="45"/>
      <c r="I24" s="25"/>
      <c r="J24" s="23"/>
    </row>
    <row r="25" spans="1:11" ht="18">
      <c r="A25" s="133">
        <f>'Production Guide'!E22</f>
        <v>2</v>
      </c>
      <c r="B25" s="134">
        <f>'Production Guide'!K22</f>
        <v>1</v>
      </c>
      <c r="C25" s="96" t="s">
        <v>84</v>
      </c>
      <c r="D25" s="1" t="s">
        <v>85</v>
      </c>
      <c r="E25" s="35">
        <f>'Production Guide'!Y22</f>
        <v>4</v>
      </c>
      <c r="H25" s="23"/>
      <c r="I25" s="25"/>
      <c r="J25" s="23"/>
    </row>
    <row r="26" spans="1:11" ht="18.75" thickBot="1">
      <c r="A26" s="234">
        <f>'Production Guide'!E20</f>
        <v>3</v>
      </c>
      <c r="B26" s="235">
        <f>'Production Guide'!K20</f>
        <v>2</v>
      </c>
      <c r="C26" s="97" t="s">
        <v>84</v>
      </c>
      <c r="D26" s="88" t="s">
        <v>86</v>
      </c>
      <c r="E26" s="89">
        <f>'Production Guide'!Y20</f>
        <v>8</v>
      </c>
      <c r="H26" s="23"/>
      <c r="I26" s="25"/>
    </row>
    <row r="27" spans="1:11" ht="15.75" thickBot="1">
      <c r="C27" s="180"/>
      <c r="D27" s="233" t="s">
        <v>87</v>
      </c>
      <c r="E27" s="72">
        <f>SUM(E10:E23)-E22</f>
        <v>209</v>
      </c>
      <c r="I27" s="17"/>
    </row>
    <row r="28" spans="1:11" ht="15.75" thickBot="1">
      <c r="I28" s="18"/>
    </row>
    <row r="29" spans="1:11" ht="15.75" thickBot="1">
      <c r="C29" s="49" t="s">
        <v>77</v>
      </c>
      <c r="D29" s="49" t="s">
        <v>88</v>
      </c>
      <c r="E29" s="49" t="s">
        <v>89</v>
      </c>
      <c r="G29" s="86" t="s">
        <v>90</v>
      </c>
      <c r="H29" s="48"/>
      <c r="I29" s="18"/>
    </row>
    <row r="30" spans="1:11">
      <c r="C30" s="53" t="s">
        <v>84</v>
      </c>
      <c r="D30" s="31" t="s">
        <v>91</v>
      </c>
      <c r="E30" s="34">
        <f>(E19+E13)*0.25</f>
        <v>13.75</v>
      </c>
      <c r="G30" s="66" t="s">
        <v>92</v>
      </c>
      <c r="H30" s="203"/>
      <c r="I30" s="25"/>
    </row>
    <row r="31" spans="1:11">
      <c r="C31" s="54" t="s">
        <v>84</v>
      </c>
      <c r="D31" s="15" t="s">
        <v>93</v>
      </c>
      <c r="E31" s="35">
        <f>E12*0.25</f>
        <v>3.75</v>
      </c>
      <c r="G31" s="66" t="s">
        <v>94</v>
      </c>
      <c r="H31" s="84"/>
    </row>
    <row r="32" spans="1:11">
      <c r="C32" s="54" t="s">
        <v>84</v>
      </c>
      <c r="D32" s="15" t="s">
        <v>95</v>
      </c>
      <c r="E32" s="35">
        <f>E15*0.25</f>
        <v>2.25</v>
      </c>
      <c r="G32" s="14" t="s">
        <v>96</v>
      </c>
      <c r="H32" s="84"/>
    </row>
    <row r="33" spans="1:8" ht="15.75" thickBot="1">
      <c r="C33" s="54" t="s">
        <v>84</v>
      </c>
      <c r="D33" s="1" t="s">
        <v>97</v>
      </c>
      <c r="E33" s="89">
        <f>(E18*0.25)+(E16*0.25)</f>
        <v>5.25</v>
      </c>
      <c r="G33" s="44" t="s">
        <v>98</v>
      </c>
      <c r="H33" s="154"/>
    </row>
    <row r="34" spans="1:8" ht="15.75" thickBot="1">
      <c r="B34" s="29"/>
      <c r="C34" s="194" t="s">
        <v>84</v>
      </c>
      <c r="D34" s="191" t="s">
        <v>99</v>
      </c>
      <c r="E34" s="190">
        <f>E13*0.25</f>
        <v>3.75</v>
      </c>
    </row>
    <row r="35" spans="1:8" ht="15.75" thickBot="1">
      <c r="C35" s="180"/>
      <c r="D35" s="50" t="s">
        <v>100</v>
      </c>
      <c r="E35" s="81" t="s">
        <v>101</v>
      </c>
      <c r="G35" s="345" t="s">
        <v>102</v>
      </c>
      <c r="H35" s="346"/>
    </row>
    <row r="36" spans="1:8" ht="15.75" thickBot="1">
      <c r="B36" s="327"/>
      <c r="C36" s="334"/>
      <c r="D36" s="37" t="s">
        <v>40</v>
      </c>
      <c r="E36" s="40">
        <f>'Production Guide'!K26</f>
        <v>4.3061875856483542</v>
      </c>
      <c r="G36" s="347">
        <f>Future!W24</f>
        <v>205</v>
      </c>
      <c r="H36" s="348"/>
    </row>
    <row r="37" spans="1:8">
      <c r="B37" s="327"/>
      <c r="C37" s="334"/>
      <c r="D37" s="38" t="s">
        <v>42</v>
      </c>
      <c r="E37" s="41">
        <f>'Production Guide'!K27</f>
        <v>1.7330888885278137</v>
      </c>
      <c r="G37" s="330" t="s">
        <v>103</v>
      </c>
      <c r="H37" s="330"/>
    </row>
    <row r="38" spans="1:8" ht="14.45" customHeight="1">
      <c r="B38" s="327"/>
      <c r="C38" s="334"/>
      <c r="D38" s="39" t="s">
        <v>44</v>
      </c>
      <c r="E38" s="42">
        <f>'Production Guide'!K28</f>
        <v>4.2050021533753918</v>
      </c>
      <c r="G38" s="331"/>
      <c r="H38" s="331"/>
    </row>
    <row r="39" spans="1:8" ht="14.45" customHeight="1" thickBot="1">
      <c r="B39" s="327"/>
      <c r="C39" s="334"/>
      <c r="D39" s="63" t="s">
        <v>46</v>
      </c>
      <c r="E39" s="62">
        <f>'Production Guide'!K29</f>
        <v>2.7275683065217127</v>
      </c>
      <c r="G39" s="331"/>
      <c r="H39" s="331"/>
    </row>
    <row r="40" spans="1:8">
      <c r="C40" s="344" t="s">
        <v>104</v>
      </c>
      <c r="D40" s="344"/>
      <c r="E40" s="344"/>
      <c r="G40" s="331" t="s">
        <v>105</v>
      </c>
      <c r="H40" s="331"/>
    </row>
    <row r="41" spans="1:8">
      <c r="C41" s="344"/>
      <c r="D41" s="344"/>
      <c r="E41" s="344"/>
      <c r="G41" s="331"/>
      <c r="H41" s="331"/>
    </row>
    <row r="42" spans="1:8">
      <c r="A42" s="332" t="s">
        <v>106</v>
      </c>
      <c r="B42" s="332"/>
      <c r="C42" s="332"/>
      <c r="D42" s="332"/>
      <c r="E42" s="332"/>
      <c r="F42" s="332"/>
      <c r="G42" s="137" t="s">
        <v>107</v>
      </c>
    </row>
  </sheetData>
  <sheetProtection algorithmName="SHA-512" hashValue="dIS5Go+BGPyTKuWCoPvxsh9P6cUBN1WIq/kIw8iKcsZRyvHUrDEFfvlFse53MOMDgZTuSoRqtV5g+3ML8cQS3g==" saltValue="dAA7HN5hE+juucsoQV5TEw==" spinCount="100000" sheet="1" objects="1" scenarios="1"/>
  <mergeCells count="12">
    <mergeCell ref="G37:H39"/>
    <mergeCell ref="A42:F42"/>
    <mergeCell ref="B3:D3"/>
    <mergeCell ref="B37:C37"/>
    <mergeCell ref="B38:C38"/>
    <mergeCell ref="B39:C39"/>
    <mergeCell ref="A6:E8"/>
    <mergeCell ref="C40:E41"/>
    <mergeCell ref="G40:H41"/>
    <mergeCell ref="G35:H35"/>
    <mergeCell ref="G36:H36"/>
    <mergeCell ref="B36:C3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3"/>
  <sheetViews>
    <sheetView topLeftCell="A4" workbookViewId="0">
      <selection activeCell="J35" sqref="J35"/>
    </sheetView>
  </sheetViews>
  <sheetFormatPr defaultColWidth="8.85546875" defaultRowHeight="15"/>
  <cols>
    <col min="1" max="2" width="3.42578125" customWidth="1"/>
    <col min="3" max="3" width="5.42578125" customWidth="1"/>
    <col min="4" max="4" width="20.85546875" customWidth="1"/>
    <col min="5" max="5" width="12.140625" customWidth="1"/>
    <col min="6" max="6" width="4" customWidth="1"/>
    <col min="7" max="7" width="20" customWidth="1"/>
    <col min="8" max="8" width="5.42578125" customWidth="1"/>
    <col min="9" max="9" width="15.42578125" bestFit="1" customWidth="1"/>
    <col min="10" max="10" width="9.42578125" customWidth="1"/>
    <col min="11" max="11" width="11" customWidth="1"/>
    <col min="12" max="12" width="12.42578125" bestFit="1" customWidth="1"/>
  </cols>
  <sheetData>
    <row r="1" spans="1:13">
      <c r="B1" s="58" t="s">
        <v>70</v>
      </c>
      <c r="C1" s="58"/>
      <c r="D1" s="75"/>
    </row>
    <row r="2" spans="1:13">
      <c r="B2" s="58"/>
      <c r="C2" s="58"/>
    </row>
    <row r="3" spans="1:13">
      <c r="B3" s="333" t="s">
        <v>71</v>
      </c>
      <c r="C3" s="333"/>
      <c r="D3" s="333"/>
      <c r="E3" s="82">
        <f>'Production Guide'!E2</f>
        <v>4500</v>
      </c>
      <c r="F3" s="82"/>
    </row>
    <row r="5" spans="1:13" ht="15.75" thickBot="1"/>
    <row r="6" spans="1:13" ht="15" customHeight="1" thickBot="1">
      <c r="A6" s="335" t="s">
        <v>72</v>
      </c>
      <c r="B6" s="336"/>
      <c r="C6" s="336"/>
      <c r="D6" s="336"/>
      <c r="E6" s="337"/>
      <c r="G6" s="76" t="s">
        <v>73</v>
      </c>
      <c r="H6" s="81" t="s">
        <v>74</v>
      </c>
    </row>
    <row r="7" spans="1:13" ht="14.45" customHeight="1">
      <c r="A7" s="338"/>
      <c r="B7" s="339"/>
      <c r="C7" s="339"/>
      <c r="D7" s="339"/>
      <c r="E7" s="340"/>
      <c r="G7" s="77" t="s">
        <v>75</v>
      </c>
      <c r="H7" s="40">
        <f>Future!AE5</f>
        <v>2.1530937928241771</v>
      </c>
    </row>
    <row r="8" spans="1:13" ht="15" customHeight="1" thickBot="1">
      <c r="A8" s="341"/>
      <c r="B8" s="342"/>
      <c r="C8" s="342"/>
      <c r="D8" s="342"/>
      <c r="E8" s="343"/>
      <c r="G8" s="78" t="s">
        <v>76</v>
      </c>
      <c r="H8" s="41">
        <f>Future!AE6</f>
        <v>1.7330888885278137</v>
      </c>
      <c r="J8" s="27"/>
    </row>
    <row r="9" spans="1:13" ht="15.75" thickBot="1">
      <c r="A9" s="46" t="s">
        <v>5</v>
      </c>
      <c r="B9" s="46" t="s">
        <v>108</v>
      </c>
      <c r="C9" s="47" t="s">
        <v>77</v>
      </c>
      <c r="D9" s="46" t="s">
        <v>4</v>
      </c>
      <c r="E9" s="48" t="s">
        <v>78</v>
      </c>
      <c r="G9" s="78" t="s">
        <v>79</v>
      </c>
      <c r="H9" s="41">
        <f>Future!AE7</f>
        <v>2.402858373357367</v>
      </c>
      <c r="I9" s="26"/>
      <c r="J9" s="26"/>
      <c r="K9" s="26"/>
    </row>
    <row r="10" spans="1:13">
      <c r="A10" s="131">
        <f>'Production Guide'!E8</f>
        <v>9</v>
      </c>
      <c r="B10" s="132">
        <f>'Production Guide'!K8</f>
        <v>13</v>
      </c>
      <c r="C10" s="94" t="s">
        <v>80</v>
      </c>
      <c r="D10" s="28" t="s">
        <v>11</v>
      </c>
      <c r="E10" s="34">
        <f>'Production Guide'!Y8</f>
        <v>38</v>
      </c>
      <c r="G10" s="78" t="s">
        <v>81</v>
      </c>
      <c r="H10" s="41">
        <f>Future!AE8</f>
        <v>1.0910273226086851</v>
      </c>
      <c r="J10" s="26"/>
      <c r="K10" s="349"/>
      <c r="L10" s="349"/>
      <c r="M10" s="349"/>
    </row>
    <row r="11" spans="1:13" ht="15.75" thickBot="1">
      <c r="A11" s="101">
        <f>'Production Guide'!E17</f>
        <v>4</v>
      </c>
      <c r="B11" s="187">
        <f>'Production Guide'!K17</f>
        <v>4</v>
      </c>
      <c r="C11" s="95" t="s">
        <v>80</v>
      </c>
      <c r="D11" s="1" t="s">
        <v>29</v>
      </c>
      <c r="E11" s="35">
        <f>'Production Guide'!Y17</f>
        <v>15</v>
      </c>
      <c r="G11" s="79" t="s">
        <v>82</v>
      </c>
      <c r="H11" s="228">
        <f>Future!AF9</f>
        <v>2</v>
      </c>
      <c r="J11" s="26"/>
      <c r="K11" s="74"/>
      <c r="L11" s="74"/>
      <c r="M11" s="74"/>
    </row>
    <row r="12" spans="1:13" ht="15.75" thickBot="1">
      <c r="A12" s="101">
        <f>'Production Guide'!E12</f>
        <v>4</v>
      </c>
      <c r="B12" s="187">
        <f>'Production Guide'!K12</f>
        <v>4</v>
      </c>
      <c r="C12" s="95" t="s">
        <v>80</v>
      </c>
      <c r="D12" s="1" t="s">
        <v>19</v>
      </c>
      <c r="E12" s="35">
        <f>'Production Guide'!Y12</f>
        <v>15</v>
      </c>
      <c r="G12" s="73"/>
      <c r="H12" s="68"/>
      <c r="J12" s="26"/>
      <c r="K12" s="74"/>
      <c r="L12" s="74"/>
      <c r="M12" s="74"/>
    </row>
    <row r="13" spans="1:13" ht="16.5" customHeight="1" thickBot="1">
      <c r="A13" s="101">
        <f>'Production Guide'!E19</f>
        <v>3</v>
      </c>
      <c r="B13" s="187">
        <f>'Production Guide'!K19</f>
        <v>2</v>
      </c>
      <c r="C13" s="95" t="s">
        <v>80</v>
      </c>
      <c r="D13" s="1" t="s">
        <v>33</v>
      </c>
      <c r="E13" s="35">
        <f>'Production Guide'!Y19</f>
        <v>8</v>
      </c>
      <c r="G13" s="47" t="s">
        <v>67</v>
      </c>
      <c r="H13" s="65" t="s">
        <v>57</v>
      </c>
      <c r="J13" s="24"/>
      <c r="K13" s="74"/>
      <c r="L13" s="74"/>
      <c r="M13" s="74"/>
    </row>
    <row r="14" spans="1:13" ht="18">
      <c r="A14" s="102">
        <f>'Production Guide'!E6</f>
        <v>2</v>
      </c>
      <c r="B14" s="179">
        <f>'Production Guide'!K6</f>
        <v>2</v>
      </c>
      <c r="C14" s="109" t="s">
        <v>80</v>
      </c>
      <c r="D14" s="88" t="s">
        <v>7</v>
      </c>
      <c r="E14" s="35">
        <f>'Production Guide'!Y6</f>
        <v>7</v>
      </c>
      <c r="G14" s="43" t="s">
        <v>68</v>
      </c>
      <c r="H14" s="51">
        <f>'All Data'!G85</f>
        <v>9</v>
      </c>
      <c r="J14" s="24"/>
      <c r="K14" s="74"/>
      <c r="L14" s="74"/>
      <c r="M14" s="74"/>
    </row>
    <row r="15" spans="1:13" ht="18.75" thickBot="1">
      <c r="A15" s="102">
        <f>'Production Guide'!E10</f>
        <v>2</v>
      </c>
      <c r="B15" s="140">
        <f>'Production Guide'!K10</f>
        <v>3</v>
      </c>
      <c r="C15" s="109" t="s">
        <v>80</v>
      </c>
      <c r="D15" s="143" t="s">
        <v>15</v>
      </c>
      <c r="E15" s="144">
        <f>'Production Guide'!Y10</f>
        <v>9</v>
      </c>
      <c r="G15" s="44" t="s">
        <v>69</v>
      </c>
      <c r="H15" s="83">
        <f>'All Data'!G86</f>
        <v>9</v>
      </c>
      <c r="I15" s="64"/>
      <c r="J15" s="24"/>
      <c r="K15" s="23"/>
    </row>
    <row r="16" spans="1:13" ht="18.75" thickTop="1">
      <c r="A16" s="141">
        <f>'Production Guide'!E9</f>
        <v>5</v>
      </c>
      <c r="B16" s="135">
        <f>'Production Guide'!K9</f>
        <v>6</v>
      </c>
      <c r="C16" s="142" t="s">
        <v>84</v>
      </c>
      <c r="D16" s="3" t="s">
        <v>13</v>
      </c>
      <c r="E16" s="69">
        <f>'Production Guide'!Y9</f>
        <v>17</v>
      </c>
      <c r="J16" s="24"/>
      <c r="K16" s="23"/>
    </row>
    <row r="17" spans="1:27" ht="18">
      <c r="A17" s="133">
        <f>'Production Guide'!E11</f>
        <v>9</v>
      </c>
      <c r="B17" s="134">
        <f>'Production Guide'!K11</f>
        <v>13</v>
      </c>
      <c r="C17" s="96" t="s">
        <v>84</v>
      </c>
      <c r="D17" s="1" t="s">
        <v>17</v>
      </c>
      <c r="E17" s="35">
        <f>'Production Guide'!Y11</f>
        <v>40</v>
      </c>
      <c r="J17" s="24"/>
      <c r="K17" s="23"/>
    </row>
    <row r="18" spans="1:27" ht="18">
      <c r="A18" s="101">
        <f>'Production Guide'!E16</f>
        <v>0</v>
      </c>
      <c r="B18" s="187">
        <f>'Production Guide'!K16</f>
        <v>0</v>
      </c>
      <c r="C18" s="96" t="s">
        <v>84</v>
      </c>
      <c r="D18" s="130" t="s">
        <v>27</v>
      </c>
      <c r="E18" s="35">
        <f>'Production Guide'!Y16</f>
        <v>0</v>
      </c>
      <c r="J18" s="24"/>
      <c r="K18" s="23"/>
    </row>
    <row r="19" spans="1:27" ht="18">
      <c r="A19" s="101">
        <f>'Production Guide'!E15</f>
        <v>3</v>
      </c>
      <c r="B19" s="187">
        <f>'Production Guide'!K15</f>
        <v>3</v>
      </c>
      <c r="C19" s="96" t="s">
        <v>84</v>
      </c>
      <c r="D19" s="1" t="s">
        <v>83</v>
      </c>
      <c r="E19" s="35">
        <f>'Production Guide'!Y15</f>
        <v>10</v>
      </c>
      <c r="J19" s="24"/>
      <c r="K19" s="23"/>
    </row>
    <row r="20" spans="1:27" ht="18">
      <c r="A20" s="136">
        <f>'Production Guide'!E21</f>
        <v>4</v>
      </c>
      <c r="B20" s="134">
        <f>'Production Guide'!K21</f>
        <v>3</v>
      </c>
      <c r="C20" s="96" t="s">
        <v>84</v>
      </c>
      <c r="D20" s="1" t="s">
        <v>36</v>
      </c>
      <c r="E20" s="35">
        <f>'Production Guide'!Y21</f>
        <v>8</v>
      </c>
      <c r="F20" s="66"/>
      <c r="J20" s="24"/>
      <c r="K20" s="23"/>
      <c r="R20" s="52"/>
      <c r="S20" s="52"/>
      <c r="T20" s="52"/>
      <c r="U20" s="52"/>
      <c r="V20" s="52"/>
      <c r="W20" s="52"/>
      <c r="X20" s="52"/>
      <c r="Y20" s="52"/>
      <c r="Z20" s="52"/>
      <c r="AA20" s="52"/>
    </row>
    <row r="21" spans="1:27" ht="18.75" thickBot="1">
      <c r="A21" s="147">
        <f>'Production Guide'!E22</f>
        <v>2</v>
      </c>
      <c r="B21" s="146">
        <f>'Production Guide'!K22</f>
        <v>1</v>
      </c>
      <c r="C21" s="110" t="s">
        <v>84</v>
      </c>
      <c r="D21" s="143" t="s">
        <v>85</v>
      </c>
      <c r="E21" s="89">
        <f>'Production Guide'!Y22</f>
        <v>4</v>
      </c>
      <c r="F21" s="54" t="s">
        <v>24</v>
      </c>
      <c r="G21" s="32"/>
      <c r="J21" s="24"/>
      <c r="K21" s="23"/>
      <c r="R21" s="52"/>
      <c r="S21" s="52"/>
      <c r="T21" s="52"/>
      <c r="U21" s="52"/>
      <c r="V21" s="52"/>
      <c r="W21" s="52"/>
      <c r="X21" s="52"/>
      <c r="Y21" s="52"/>
      <c r="Z21" s="52"/>
      <c r="AA21" s="52"/>
    </row>
    <row r="22" spans="1:27" ht="18.75" thickTop="1">
      <c r="A22" s="136">
        <f>'Production Guide'!E18</f>
        <v>5</v>
      </c>
      <c r="B22" s="135">
        <f>'Production Guide'!K18</f>
        <v>5</v>
      </c>
      <c r="C22" s="142" t="s">
        <v>109</v>
      </c>
      <c r="D22" s="3" t="s">
        <v>31</v>
      </c>
      <c r="E22" s="145">
        <f>'Production Guide'!Y18</f>
        <v>21</v>
      </c>
      <c r="F22" s="98">
        <f>E25/3</f>
        <v>3</v>
      </c>
      <c r="G22" s="32"/>
      <c r="H22" s="45"/>
      <c r="I22" s="25"/>
      <c r="J22" s="24"/>
      <c r="K22" s="23"/>
      <c r="R22" s="52"/>
      <c r="S22" s="52"/>
      <c r="T22" s="52"/>
      <c r="U22" s="52"/>
      <c r="V22" s="52"/>
      <c r="W22" s="52"/>
      <c r="X22" s="52"/>
      <c r="Y22" s="52"/>
      <c r="Z22" s="52"/>
      <c r="AA22" s="52"/>
    </row>
    <row r="23" spans="1:27" ht="18">
      <c r="A23" s="101">
        <f>'Production Guide'!E13</f>
        <v>3</v>
      </c>
      <c r="B23" s="187">
        <f>'Production Guide'!K13</f>
        <v>4</v>
      </c>
      <c r="C23" s="96" t="s">
        <v>109</v>
      </c>
      <c r="D23" s="1" t="s">
        <v>21</v>
      </c>
      <c r="E23" s="186">
        <f>'Production Guide'!Y13</f>
        <v>15</v>
      </c>
      <c r="F23" s="98">
        <f>E25/3</f>
        <v>3</v>
      </c>
      <c r="G23" s="32"/>
      <c r="H23" s="23"/>
      <c r="I23" s="25"/>
      <c r="J23" s="24"/>
      <c r="K23" s="23"/>
      <c r="R23" s="52"/>
      <c r="S23" s="52"/>
      <c r="T23" s="52"/>
      <c r="U23" s="52"/>
      <c r="V23" s="52"/>
      <c r="W23" s="52"/>
      <c r="X23" s="52"/>
      <c r="Y23" s="52"/>
      <c r="Z23" s="52"/>
      <c r="AA23" s="52"/>
    </row>
    <row r="24" spans="1:27" ht="18">
      <c r="A24" s="101">
        <f>'Production Guide'!E7</f>
        <v>3</v>
      </c>
      <c r="B24" s="187">
        <f>'Production Guide'!K7</f>
        <v>3</v>
      </c>
      <c r="C24" s="96" t="s">
        <v>109</v>
      </c>
      <c r="D24" s="1" t="s">
        <v>9</v>
      </c>
      <c r="E24" s="186">
        <f>'Production Guide'!Y7</f>
        <v>14</v>
      </c>
      <c r="F24" s="99">
        <f>E25/3</f>
        <v>3</v>
      </c>
      <c r="H24" s="23"/>
      <c r="I24" s="25"/>
      <c r="J24" s="23"/>
      <c r="R24" s="52"/>
      <c r="S24" s="52"/>
      <c r="T24" s="52"/>
      <c r="U24" s="52"/>
      <c r="V24" s="52"/>
      <c r="W24" s="52"/>
      <c r="X24" s="52"/>
      <c r="Y24" s="52"/>
      <c r="Z24" s="52"/>
      <c r="AA24" s="52"/>
    </row>
    <row r="25" spans="1:27" ht="18">
      <c r="A25" s="102">
        <f>'Production Guide'!E14</f>
        <v>3</v>
      </c>
      <c r="B25" s="187">
        <f>'Production Guide'!K14</f>
        <v>2</v>
      </c>
      <c r="C25" s="96" t="s">
        <v>109</v>
      </c>
      <c r="D25" s="1" t="s">
        <v>23</v>
      </c>
      <c r="E25" s="35">
        <f>MROUND('Production Guide'!Y14,3)</f>
        <v>9</v>
      </c>
      <c r="J25" s="23"/>
      <c r="R25" s="52"/>
      <c r="S25" s="52"/>
      <c r="T25" s="52"/>
      <c r="U25" s="52"/>
      <c r="V25" s="52"/>
      <c r="W25" s="52"/>
      <c r="X25" s="52"/>
      <c r="Y25" s="52"/>
      <c r="Z25" s="52"/>
      <c r="AA25" s="52"/>
    </row>
    <row r="26" spans="1:27" ht="18.75" thickBot="1">
      <c r="A26" s="181">
        <f>'Production Guide'!E20</f>
        <v>3</v>
      </c>
      <c r="B26" s="241">
        <f>'Production Guide'!K20</f>
        <v>2</v>
      </c>
      <c r="C26" s="232" t="s">
        <v>109</v>
      </c>
      <c r="D26" s="88" t="s">
        <v>86</v>
      </c>
      <c r="E26" s="35">
        <f>'Production Guide'!Y20</f>
        <v>8</v>
      </c>
      <c r="J26" s="23"/>
      <c r="R26" s="52"/>
      <c r="S26" s="52"/>
      <c r="T26" s="52"/>
      <c r="U26" s="52"/>
      <c r="V26" s="52"/>
      <c r="W26" s="52"/>
      <c r="X26" s="52"/>
      <c r="Y26" s="52"/>
      <c r="Z26" s="52"/>
      <c r="AA26" s="52"/>
    </row>
    <row r="27" spans="1:27" ht="18.75" thickBot="1">
      <c r="C27" s="29"/>
      <c r="D27" s="233" t="s">
        <v>87</v>
      </c>
      <c r="E27" s="72">
        <f>SUM(E10:E25)-E20-E21-E25</f>
        <v>209</v>
      </c>
      <c r="J27" s="23"/>
      <c r="R27" s="52"/>
      <c r="S27" s="52"/>
      <c r="T27" s="52"/>
      <c r="U27" s="52"/>
      <c r="V27" s="52"/>
      <c r="W27" s="52"/>
      <c r="X27" s="52"/>
      <c r="Y27" s="52"/>
      <c r="Z27" s="52"/>
      <c r="AA27" s="52"/>
    </row>
    <row r="28" spans="1:27" ht="18.75" thickBot="1">
      <c r="E28" s="68"/>
      <c r="F28" s="67"/>
      <c r="G28" s="86" t="s">
        <v>90</v>
      </c>
      <c r="H28" s="48"/>
      <c r="I28" s="85"/>
      <c r="J28" s="23"/>
      <c r="R28" s="52"/>
      <c r="S28" s="52"/>
      <c r="T28" s="52"/>
      <c r="U28" s="52"/>
      <c r="V28" s="52"/>
      <c r="W28" s="52"/>
      <c r="X28" s="52"/>
      <c r="Y28" s="52"/>
      <c r="Z28" s="52"/>
      <c r="AA28" s="52"/>
    </row>
    <row r="29" spans="1:27" ht="15.75" thickBot="1">
      <c r="C29" s="49" t="s">
        <v>77</v>
      </c>
      <c r="D29" s="49" t="s">
        <v>88</v>
      </c>
      <c r="E29" s="49" t="s">
        <v>89</v>
      </c>
      <c r="G29" s="66" t="s">
        <v>92</v>
      </c>
      <c r="H29" s="203"/>
      <c r="R29" s="52"/>
      <c r="S29" s="52"/>
      <c r="T29" s="52"/>
      <c r="U29" s="52"/>
      <c r="V29" s="52"/>
      <c r="W29" s="52"/>
      <c r="X29" s="52"/>
      <c r="Y29" s="52"/>
      <c r="Z29" s="52"/>
      <c r="AA29" s="52"/>
    </row>
    <row r="30" spans="1:27">
      <c r="C30" s="53" t="s">
        <v>80</v>
      </c>
      <c r="D30" s="31" t="s">
        <v>91</v>
      </c>
      <c r="E30" s="34">
        <f>(E17+E12)*0.25</f>
        <v>13.75</v>
      </c>
      <c r="G30" s="66" t="s">
        <v>94</v>
      </c>
      <c r="H30" s="84"/>
      <c r="I30" s="67"/>
      <c r="R30" s="52"/>
      <c r="S30" s="52"/>
      <c r="T30" s="52"/>
      <c r="U30" s="52"/>
      <c r="V30" s="52"/>
      <c r="W30" s="52"/>
      <c r="X30" s="52"/>
      <c r="Y30" s="52"/>
      <c r="Z30" s="52"/>
      <c r="AA30" s="52"/>
    </row>
    <row r="31" spans="1:27">
      <c r="C31" s="54" t="s">
        <v>80</v>
      </c>
      <c r="D31" s="15" t="s">
        <v>93</v>
      </c>
      <c r="E31" s="35">
        <f>E11*0.25</f>
        <v>3.75</v>
      </c>
      <c r="G31" s="14" t="s">
        <v>96</v>
      </c>
      <c r="H31" s="84"/>
    </row>
    <row r="32" spans="1:27" ht="15.75" thickBot="1">
      <c r="C32" s="54" t="s">
        <v>80</v>
      </c>
      <c r="D32" s="15" t="s">
        <v>95</v>
      </c>
      <c r="E32" s="35">
        <f>E15*0.25</f>
        <v>2.25</v>
      </c>
      <c r="G32" s="44" t="s">
        <v>98</v>
      </c>
      <c r="H32" s="154"/>
    </row>
    <row r="33" spans="1:10" ht="15.75" thickBot="1">
      <c r="C33" s="54" t="s">
        <v>80</v>
      </c>
      <c r="D33" s="1" t="s">
        <v>97</v>
      </c>
      <c r="E33" s="186">
        <f>(E22*0.25)+(E18*0.25)</f>
        <v>5.25</v>
      </c>
      <c r="F33" s="67"/>
    </row>
    <row r="34" spans="1:10" ht="15.75" thickBot="1">
      <c r="B34" s="29"/>
      <c r="C34" s="55" t="s">
        <v>80</v>
      </c>
      <c r="D34" s="10" t="s">
        <v>99</v>
      </c>
      <c r="E34" s="89">
        <f>E12*0.25</f>
        <v>3.75</v>
      </c>
      <c r="F34" s="29"/>
      <c r="G34" s="345" t="s">
        <v>102</v>
      </c>
      <c r="H34" s="346"/>
    </row>
    <row r="35" spans="1:10" ht="15.75" thickBot="1">
      <c r="B35" s="327"/>
      <c r="C35" s="334"/>
      <c r="D35" s="192" t="s">
        <v>100</v>
      </c>
      <c r="E35" s="81" t="s">
        <v>101</v>
      </c>
      <c r="G35" s="347">
        <f>Future!W24</f>
        <v>205</v>
      </c>
      <c r="H35" s="348"/>
    </row>
    <row r="36" spans="1:10">
      <c r="B36" s="327"/>
      <c r="C36" s="334"/>
      <c r="D36" s="37" t="s">
        <v>40</v>
      </c>
      <c r="E36" s="40">
        <f>'Production Guide'!K26</f>
        <v>4.3061875856483542</v>
      </c>
    </row>
    <row r="37" spans="1:10" ht="15" customHeight="1">
      <c r="B37" s="327"/>
      <c r="C37" s="334"/>
      <c r="D37" s="38" t="s">
        <v>42</v>
      </c>
      <c r="E37" s="41">
        <f>'Production Guide'!K27</f>
        <v>1.7330888885278137</v>
      </c>
      <c r="G37" s="331" t="s">
        <v>103</v>
      </c>
      <c r="H37" s="331"/>
    </row>
    <row r="38" spans="1:10" ht="14.45" customHeight="1">
      <c r="B38" s="327"/>
      <c r="C38" s="334"/>
      <c r="D38" s="39" t="s">
        <v>44</v>
      </c>
      <c r="E38" s="42">
        <f>'Production Guide'!K28</f>
        <v>4.2050021533753918</v>
      </c>
      <c r="G38" s="331"/>
      <c r="H38" s="331"/>
    </row>
    <row r="39" spans="1:10" ht="14.45" customHeight="1" thickBot="1">
      <c r="B39" s="327"/>
      <c r="C39" s="334"/>
      <c r="D39" s="63" t="s">
        <v>46</v>
      </c>
      <c r="E39" s="62">
        <f>'Production Guide'!K29</f>
        <v>2.7275683065217127</v>
      </c>
      <c r="G39" s="331"/>
      <c r="H39" s="331"/>
      <c r="I39" s="153"/>
      <c r="J39" s="153"/>
    </row>
    <row r="40" spans="1:10">
      <c r="C40" s="26"/>
      <c r="G40" s="331" t="s">
        <v>105</v>
      </c>
      <c r="H40" s="331"/>
      <c r="I40" s="153"/>
      <c r="J40" s="153"/>
    </row>
    <row r="41" spans="1:10">
      <c r="C41" s="344" t="s">
        <v>104</v>
      </c>
      <c r="D41" s="344"/>
      <c r="E41" s="344"/>
      <c r="G41" s="331"/>
      <c r="H41" s="331"/>
      <c r="I41" s="153"/>
      <c r="J41" s="153"/>
    </row>
    <row r="42" spans="1:10" ht="14.45" customHeight="1">
      <c r="C42" s="344"/>
      <c r="D42" s="344"/>
      <c r="E42" s="344"/>
      <c r="G42" s="137" t="s">
        <v>107</v>
      </c>
    </row>
    <row r="43" spans="1:10">
      <c r="A43" s="332" t="s">
        <v>106</v>
      </c>
      <c r="B43" s="332"/>
      <c r="C43" s="332"/>
      <c r="D43" s="332"/>
      <c r="E43" s="332"/>
      <c r="F43" s="332"/>
    </row>
  </sheetData>
  <sheetProtection algorithmName="SHA-512" hashValue="iKoSxW79HUHyTZhBI1kB6DWAj+4pGU/4fx0Pqei0qe35DDkOxU8voTokZ5PrKfP/8EQMmx2ijcKNBt824rQ83w==" saltValue="mzR3oeP01mG41Capu0L2EQ==" spinCount="100000" sheet="1" objects="1" scenarios="1"/>
  <mergeCells count="14">
    <mergeCell ref="B3:D3"/>
    <mergeCell ref="B37:C37"/>
    <mergeCell ref="B38:C38"/>
    <mergeCell ref="B39:C39"/>
    <mergeCell ref="A6:E8"/>
    <mergeCell ref="A43:F43"/>
    <mergeCell ref="C41:E42"/>
    <mergeCell ref="K10:M10"/>
    <mergeCell ref="G34:H34"/>
    <mergeCell ref="G35:H35"/>
    <mergeCell ref="B35:C35"/>
    <mergeCell ref="B36:C36"/>
    <mergeCell ref="G40:H41"/>
    <mergeCell ref="G37:H39"/>
  </mergeCells>
  <pageMargins left="0.7" right="0.7" top="0.75" bottom="0.75" header="0.3" footer="0.3"/>
  <pageSetup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5"/>
  <sheetViews>
    <sheetView zoomScaleNormal="100" zoomScalePageLayoutView="60" workbookViewId="0">
      <selection activeCell="J19" sqref="J19"/>
    </sheetView>
  </sheetViews>
  <sheetFormatPr defaultColWidth="8.85546875" defaultRowHeight="15"/>
  <cols>
    <col min="1" max="1" width="3.42578125" customWidth="1"/>
    <col min="2" max="2" width="3.42578125" bestFit="1" customWidth="1"/>
    <col min="3" max="3" width="5.42578125" bestFit="1" customWidth="1"/>
    <col min="4" max="4" width="20.85546875" bestFit="1" customWidth="1"/>
    <col min="5" max="5" width="12.140625" bestFit="1" customWidth="1"/>
    <col min="6" max="6" width="4" customWidth="1"/>
    <col min="7" max="7" width="20" customWidth="1"/>
    <col min="8" max="8" width="5.42578125" bestFit="1" customWidth="1"/>
    <col min="9" max="9" width="4.42578125" customWidth="1"/>
    <col min="10" max="10" width="11.42578125" bestFit="1" customWidth="1"/>
    <col min="11" max="11" width="9.42578125" customWidth="1"/>
    <col min="12" max="12" width="11" customWidth="1"/>
    <col min="13" max="13" width="12.42578125" bestFit="1" customWidth="1"/>
  </cols>
  <sheetData>
    <row r="1" spans="1:11">
      <c r="B1" s="58" t="s">
        <v>70</v>
      </c>
      <c r="C1" s="58"/>
      <c r="D1" s="75"/>
    </row>
    <row r="2" spans="1:11">
      <c r="B2" s="58"/>
      <c r="C2" s="58"/>
    </row>
    <row r="3" spans="1:11">
      <c r="B3" s="333" t="s">
        <v>71</v>
      </c>
      <c r="C3" s="333"/>
      <c r="D3" s="333"/>
      <c r="E3" s="82">
        <f>'Production Guide'!E2</f>
        <v>4500</v>
      </c>
      <c r="F3" s="82"/>
    </row>
    <row r="4" spans="1:11" ht="15" customHeight="1"/>
    <row r="5" spans="1:11" ht="15" customHeight="1" thickBot="1"/>
    <row r="6" spans="1:11" ht="15.75" customHeight="1" thickBot="1">
      <c r="A6" s="335" t="s">
        <v>72</v>
      </c>
      <c r="B6" s="336"/>
      <c r="C6" s="336"/>
      <c r="D6" s="336"/>
      <c r="E6" s="337"/>
      <c r="G6" s="76" t="s">
        <v>73</v>
      </c>
      <c r="H6" s="81" t="s">
        <v>74</v>
      </c>
    </row>
    <row r="7" spans="1:11" ht="15" customHeight="1">
      <c r="A7" s="338"/>
      <c r="B7" s="339"/>
      <c r="C7" s="339"/>
      <c r="D7" s="339"/>
      <c r="E7" s="340"/>
      <c r="G7" s="77" t="s">
        <v>75</v>
      </c>
      <c r="H7" s="40">
        <f>Future!AE5</f>
        <v>2.1530937928241771</v>
      </c>
    </row>
    <row r="8" spans="1:11" ht="15.75" customHeight="1" thickBot="1">
      <c r="A8" s="341"/>
      <c r="B8" s="342"/>
      <c r="C8" s="342"/>
      <c r="D8" s="342"/>
      <c r="E8" s="343"/>
      <c r="G8" s="78" t="s">
        <v>76</v>
      </c>
      <c r="H8" s="42">
        <f>Future!AE6</f>
        <v>1.7330888885278137</v>
      </c>
      <c r="J8" s="27"/>
    </row>
    <row r="9" spans="1:11" ht="15.75" thickBot="1">
      <c r="A9" s="100" t="s">
        <v>5</v>
      </c>
      <c r="B9" s="104" t="s">
        <v>6</v>
      </c>
      <c r="C9" s="103" t="s">
        <v>77</v>
      </c>
      <c r="D9" s="106" t="s">
        <v>4</v>
      </c>
      <c r="E9" s="107" t="s">
        <v>78</v>
      </c>
      <c r="G9" s="78" t="s">
        <v>79</v>
      </c>
      <c r="H9" s="42">
        <f>Future!AE7</f>
        <v>2.402858373357367</v>
      </c>
      <c r="I9" s="26"/>
      <c r="J9" s="26"/>
    </row>
    <row r="10" spans="1:11">
      <c r="A10" s="131">
        <f>'Production Guide'!E8</f>
        <v>9</v>
      </c>
      <c r="B10" s="132">
        <f>'Production Guide'!K8</f>
        <v>13</v>
      </c>
      <c r="C10" s="94" t="s">
        <v>84</v>
      </c>
      <c r="D10" s="28" t="s">
        <v>11</v>
      </c>
      <c r="E10" s="34">
        <f>'Production Guide'!Y8</f>
        <v>38</v>
      </c>
      <c r="G10" s="78" t="s">
        <v>81</v>
      </c>
      <c r="H10" s="42">
        <f>Future!AE8</f>
        <v>1.0910273226086851</v>
      </c>
      <c r="J10" s="26"/>
    </row>
    <row r="11" spans="1:11" ht="15.75" thickBot="1">
      <c r="A11" s="101">
        <f>'Production Guide'!E17</f>
        <v>4</v>
      </c>
      <c r="B11" s="187">
        <f>'Production Guide'!K17</f>
        <v>4</v>
      </c>
      <c r="C11" s="95" t="s">
        <v>84</v>
      </c>
      <c r="D11" s="1" t="s">
        <v>29</v>
      </c>
      <c r="E11" s="35">
        <f>'Production Guide'!Y17</f>
        <v>15</v>
      </c>
      <c r="G11" s="79" t="s">
        <v>82</v>
      </c>
      <c r="H11" s="62">
        <f>Future!AF9</f>
        <v>2</v>
      </c>
      <c r="J11" s="26"/>
    </row>
    <row r="12" spans="1:11" ht="15.75" thickBot="1">
      <c r="A12" s="101">
        <f>'Production Guide'!E12</f>
        <v>4</v>
      </c>
      <c r="B12" s="187">
        <f>'Production Guide'!K12</f>
        <v>4</v>
      </c>
      <c r="C12" s="95" t="s">
        <v>84</v>
      </c>
      <c r="D12" s="1" t="s">
        <v>19</v>
      </c>
      <c r="E12" s="35">
        <f>'Production Guide'!Y12</f>
        <v>15</v>
      </c>
      <c r="G12" s="73"/>
      <c r="H12" s="68"/>
      <c r="J12" s="26"/>
    </row>
    <row r="13" spans="1:11" ht="16.5" customHeight="1" thickBot="1">
      <c r="A13" s="101">
        <f>'Production Guide'!E19</f>
        <v>3</v>
      </c>
      <c r="B13" s="187">
        <f>'Production Guide'!K19</f>
        <v>2</v>
      </c>
      <c r="C13" s="95" t="s">
        <v>84</v>
      </c>
      <c r="D13" s="1" t="s">
        <v>33</v>
      </c>
      <c r="E13" s="35">
        <f>'Production Guide'!Y19</f>
        <v>8</v>
      </c>
      <c r="G13" s="47" t="s">
        <v>67</v>
      </c>
      <c r="H13" s="65" t="s">
        <v>57</v>
      </c>
      <c r="J13" s="24"/>
    </row>
    <row r="14" spans="1:11" ht="18.75" thickBot="1">
      <c r="A14" s="102">
        <f>'Production Guide'!E10</f>
        <v>2</v>
      </c>
      <c r="B14" s="179">
        <f>'Production Guide'!K10</f>
        <v>3</v>
      </c>
      <c r="C14" s="110" t="s">
        <v>84</v>
      </c>
      <c r="D14" s="143" t="s">
        <v>15</v>
      </c>
      <c r="E14" s="144">
        <f>'Production Guide'!Y10</f>
        <v>9</v>
      </c>
      <c r="G14" s="43" t="s">
        <v>68</v>
      </c>
      <c r="H14" s="257">
        <f>'All Data'!G85</f>
        <v>9</v>
      </c>
      <c r="J14" s="24"/>
    </row>
    <row r="15" spans="1:11" ht="19.5" thickTop="1" thickBot="1">
      <c r="A15" s="141">
        <f>'Production Guide'!E9</f>
        <v>5</v>
      </c>
      <c r="B15" s="150">
        <f>'Production Guide'!K9</f>
        <v>6</v>
      </c>
      <c r="C15" s="142" t="s">
        <v>109</v>
      </c>
      <c r="D15" s="3" t="s">
        <v>13</v>
      </c>
      <c r="E15" s="69">
        <f>'Production Guide'!Y9</f>
        <v>17</v>
      </c>
      <c r="G15" s="44" t="s">
        <v>69</v>
      </c>
      <c r="H15" s="258">
        <f>'All Data'!G86</f>
        <v>9</v>
      </c>
      <c r="I15" s="64"/>
      <c r="J15" s="24"/>
    </row>
    <row r="16" spans="1:11" ht="18">
      <c r="A16" s="133">
        <f>'Production Guide'!E11</f>
        <v>9</v>
      </c>
      <c r="B16" s="134">
        <f>'Production Guide'!K11</f>
        <v>13</v>
      </c>
      <c r="C16" s="96" t="s">
        <v>109</v>
      </c>
      <c r="D16" s="130" t="s">
        <v>17</v>
      </c>
      <c r="E16" s="35">
        <f>'Production Guide'!Y11</f>
        <v>40</v>
      </c>
      <c r="H16" s="73"/>
      <c r="J16" s="24"/>
      <c r="K16" s="23"/>
    </row>
    <row r="17" spans="1:11" ht="18">
      <c r="A17" s="102">
        <f>'Production Guide'!E16</f>
        <v>0</v>
      </c>
      <c r="B17" s="187">
        <f>'Production Guide'!K16</f>
        <v>0</v>
      </c>
      <c r="C17" s="96" t="s">
        <v>109</v>
      </c>
      <c r="D17" s="1" t="s">
        <v>27</v>
      </c>
      <c r="E17" s="35">
        <f>'Production Guide'!Y16</f>
        <v>0</v>
      </c>
      <c r="J17" s="24"/>
      <c r="K17" s="23"/>
    </row>
    <row r="18" spans="1:11" ht="18.75" thickBot="1">
      <c r="A18" s="102">
        <f>'Production Guide'!E15</f>
        <v>3</v>
      </c>
      <c r="B18" s="187">
        <f>'Production Guide'!K15</f>
        <v>3</v>
      </c>
      <c r="C18" s="96" t="s">
        <v>109</v>
      </c>
      <c r="D18" s="1" t="s">
        <v>83</v>
      </c>
      <c r="E18" s="35">
        <f>'Production Guide'!Y15</f>
        <v>10</v>
      </c>
      <c r="J18" s="24"/>
      <c r="K18" s="23"/>
    </row>
    <row r="19" spans="1:11" ht="18.75" thickBot="1">
      <c r="A19" s="133">
        <f>'Production Guide'!E21</f>
        <v>4</v>
      </c>
      <c r="B19" s="134">
        <f>'Production Guide'!K21</f>
        <v>3</v>
      </c>
      <c r="C19" s="96" t="s">
        <v>109</v>
      </c>
      <c r="D19" s="1" t="s">
        <v>36</v>
      </c>
      <c r="E19" s="35">
        <f>'Production Guide'!Y21</f>
        <v>8</v>
      </c>
      <c r="J19" s="259"/>
      <c r="K19" s="23"/>
    </row>
    <row r="20" spans="1:11" ht="18.75" thickBot="1">
      <c r="A20" s="138">
        <f>'Production Guide'!E22</f>
        <v>2</v>
      </c>
      <c r="B20" s="139">
        <f>'Production Guide'!K22</f>
        <v>1</v>
      </c>
      <c r="C20" s="110" t="s">
        <v>109</v>
      </c>
      <c r="D20" s="143" t="s">
        <v>85</v>
      </c>
      <c r="E20" s="144">
        <f>'Production Guide'!Y22</f>
        <v>4</v>
      </c>
      <c r="F20" s="2" t="s">
        <v>24</v>
      </c>
      <c r="J20" s="24"/>
      <c r="K20" s="23"/>
    </row>
    <row r="21" spans="1:11" ht="18.75" thickTop="1">
      <c r="A21" s="141">
        <f>'Production Guide'!E18</f>
        <v>5</v>
      </c>
      <c r="B21" s="150">
        <f>'Production Guide'!K18</f>
        <v>5</v>
      </c>
      <c r="C21" s="142" t="s">
        <v>110</v>
      </c>
      <c r="D21" s="3" t="s">
        <v>31</v>
      </c>
      <c r="E21" s="70">
        <f>'Production Guide'!Y18</f>
        <v>21</v>
      </c>
      <c r="F21" s="99">
        <f>E24/3</f>
        <v>3</v>
      </c>
      <c r="J21" s="24"/>
      <c r="K21" s="23"/>
    </row>
    <row r="22" spans="1:11" ht="18">
      <c r="A22" s="101">
        <f>'Production Guide'!E13</f>
        <v>3</v>
      </c>
      <c r="B22" s="187">
        <f>'Production Guide'!K13</f>
        <v>4</v>
      </c>
      <c r="C22" s="96" t="s">
        <v>110</v>
      </c>
      <c r="D22" s="1" t="s">
        <v>21</v>
      </c>
      <c r="E22" s="186">
        <f>'Production Guide'!Y13</f>
        <v>15</v>
      </c>
      <c r="F22" s="99">
        <f>E24/3</f>
        <v>3</v>
      </c>
      <c r="H22" s="45"/>
      <c r="I22" s="25"/>
      <c r="J22" s="24"/>
      <c r="K22" s="23"/>
    </row>
    <row r="23" spans="1:11" ht="18">
      <c r="A23" s="101">
        <f>'Production Guide'!E7</f>
        <v>3</v>
      </c>
      <c r="B23" s="187">
        <f>'Production Guide'!K7</f>
        <v>3</v>
      </c>
      <c r="C23" s="96" t="s">
        <v>110</v>
      </c>
      <c r="D23" s="1" t="s">
        <v>9</v>
      </c>
      <c r="E23" s="186">
        <f>'Production Guide'!Y7</f>
        <v>14</v>
      </c>
      <c r="F23" s="99">
        <f>E24/3</f>
        <v>3</v>
      </c>
      <c r="H23" s="23"/>
      <c r="I23" s="25"/>
      <c r="J23" s="24"/>
      <c r="K23" s="23"/>
    </row>
    <row r="24" spans="1:11" ht="18">
      <c r="A24" s="101">
        <f>'Production Guide'!E14</f>
        <v>3</v>
      </c>
      <c r="B24" s="187">
        <f>'Production Guide'!K14</f>
        <v>2</v>
      </c>
      <c r="C24" s="96" t="s">
        <v>110</v>
      </c>
      <c r="D24" s="1" t="s">
        <v>23</v>
      </c>
      <c r="E24" s="35">
        <f>MROUND('Production Guide'!Y14,3)</f>
        <v>9</v>
      </c>
      <c r="H24" s="23"/>
      <c r="I24" s="25"/>
      <c r="J24" s="23"/>
    </row>
    <row r="25" spans="1:11" ht="18">
      <c r="A25" s="102">
        <f>'Production Guide'!E6</f>
        <v>2</v>
      </c>
      <c r="B25" s="179">
        <f>'Production Guide'!K6</f>
        <v>2</v>
      </c>
      <c r="C25" s="96" t="s">
        <v>110</v>
      </c>
      <c r="D25" s="1" t="s">
        <v>7</v>
      </c>
      <c r="E25" s="35">
        <f>'Production Guide'!Y6</f>
        <v>7</v>
      </c>
      <c r="J25" s="23"/>
    </row>
    <row r="26" spans="1:11" ht="18.75" thickBot="1">
      <c r="A26" s="181">
        <f>'Production Guide'!E20</f>
        <v>3</v>
      </c>
      <c r="B26" s="231">
        <f>'Production Guide'!K20</f>
        <v>2</v>
      </c>
      <c r="C26" s="97" t="s">
        <v>110</v>
      </c>
      <c r="D26" s="10" t="s">
        <v>86</v>
      </c>
      <c r="E26" s="35">
        <f>'Production Guide'!Y20</f>
        <v>8</v>
      </c>
      <c r="J26" s="23"/>
    </row>
    <row r="27" spans="1:11" ht="17.25" customHeight="1" thickBot="1">
      <c r="C27" s="29"/>
      <c r="D27" s="230" t="s">
        <v>87</v>
      </c>
      <c r="E27" s="72">
        <f>SUM(E10:E25)-E19-E20-E24</f>
        <v>209</v>
      </c>
      <c r="G27" s="86" t="s">
        <v>90</v>
      </c>
      <c r="H27" s="48"/>
      <c r="J27" s="23"/>
    </row>
    <row r="28" spans="1:11" ht="18.75" thickBot="1">
      <c r="E28" s="68"/>
      <c r="G28" s="66" t="s">
        <v>92</v>
      </c>
      <c r="H28" s="203"/>
      <c r="I28" s="85"/>
      <c r="J28" s="23"/>
    </row>
    <row r="29" spans="1:11" ht="15.75" thickBot="1">
      <c r="C29" s="49" t="s">
        <v>77</v>
      </c>
      <c r="D29" s="49" t="s">
        <v>88</v>
      </c>
      <c r="E29" s="49" t="s">
        <v>89</v>
      </c>
      <c r="G29" s="66" t="s">
        <v>94</v>
      </c>
      <c r="H29" s="84"/>
    </row>
    <row r="30" spans="1:11">
      <c r="C30" s="53" t="s">
        <v>80</v>
      </c>
      <c r="D30" s="31" t="s">
        <v>91</v>
      </c>
      <c r="E30" s="34">
        <f>(E16+E12)*0.25</f>
        <v>13.75</v>
      </c>
      <c r="G30" s="14" t="s">
        <v>96</v>
      </c>
      <c r="H30" s="84"/>
      <c r="I30" s="67"/>
    </row>
    <row r="31" spans="1:11" ht="15.75" thickBot="1">
      <c r="C31" s="54" t="s">
        <v>80</v>
      </c>
      <c r="D31" s="15" t="s">
        <v>93</v>
      </c>
      <c r="E31" s="35">
        <f>E11*0.25</f>
        <v>3.75</v>
      </c>
      <c r="G31" s="44" t="s">
        <v>98</v>
      </c>
      <c r="H31" s="154"/>
    </row>
    <row r="32" spans="1:11">
      <c r="C32" s="54" t="s">
        <v>80</v>
      </c>
      <c r="D32" s="1" t="s">
        <v>95</v>
      </c>
      <c r="E32" s="35">
        <f>E14*0.25</f>
        <v>2.25</v>
      </c>
      <c r="G32" s="73"/>
      <c r="H32" s="73"/>
    </row>
    <row r="33" spans="1:8" ht="15.75" thickBot="1">
      <c r="C33" s="194" t="s">
        <v>80</v>
      </c>
      <c r="D33" s="1" t="s">
        <v>97</v>
      </c>
      <c r="E33" s="89">
        <f>(E21*0.25)+(E17*0.25)</f>
        <v>5.25</v>
      </c>
    </row>
    <row r="34" spans="1:8" ht="15.75" thickBot="1">
      <c r="C34" s="194" t="s">
        <v>80</v>
      </c>
      <c r="D34" s="195" t="s">
        <v>99</v>
      </c>
      <c r="E34" s="36">
        <f>E12*0.25</f>
        <v>3.75</v>
      </c>
      <c r="G34" s="345" t="s">
        <v>102</v>
      </c>
      <c r="H34" s="346"/>
    </row>
    <row r="35" spans="1:8" ht="15.75" thickBot="1">
      <c r="C35" s="180"/>
      <c r="D35" s="192" t="s">
        <v>100</v>
      </c>
      <c r="E35" s="193" t="s">
        <v>101</v>
      </c>
      <c r="G35" s="347">
        <f>Future!W24</f>
        <v>205</v>
      </c>
      <c r="H35" s="348"/>
    </row>
    <row r="36" spans="1:8">
      <c r="B36" s="327"/>
      <c r="C36" s="334"/>
      <c r="D36" s="37" t="s">
        <v>40</v>
      </c>
      <c r="E36" s="40">
        <f>'Production Guide'!K26</f>
        <v>4.3061875856483542</v>
      </c>
      <c r="G36" s="331" t="s">
        <v>103</v>
      </c>
      <c r="H36" s="331"/>
    </row>
    <row r="37" spans="1:8">
      <c r="B37" s="327"/>
      <c r="C37" s="334"/>
      <c r="D37" s="38" t="s">
        <v>42</v>
      </c>
      <c r="E37" s="41">
        <f>'Production Guide'!K27</f>
        <v>1.7330888885278137</v>
      </c>
      <c r="G37" s="331"/>
      <c r="H37" s="331"/>
    </row>
    <row r="38" spans="1:8">
      <c r="B38" s="327"/>
      <c r="C38" s="334"/>
      <c r="D38" s="39" t="s">
        <v>44</v>
      </c>
      <c r="E38" s="42">
        <f>'Production Guide'!K28</f>
        <v>4.2050021533753918</v>
      </c>
      <c r="G38" s="331"/>
      <c r="H38" s="331"/>
    </row>
    <row r="39" spans="1:8" ht="15.75" thickBot="1">
      <c r="B39" s="327"/>
      <c r="C39" s="334"/>
      <c r="D39" s="63" t="s">
        <v>46</v>
      </c>
      <c r="E39" s="62">
        <f>'Production Guide'!K29</f>
        <v>2.7275683065217127</v>
      </c>
      <c r="G39" s="331" t="s">
        <v>105</v>
      </c>
      <c r="H39" s="331"/>
    </row>
    <row r="40" spans="1:8">
      <c r="C40" s="344" t="s">
        <v>104</v>
      </c>
      <c r="D40" s="344"/>
      <c r="E40" s="344"/>
      <c r="G40" s="331"/>
      <c r="H40" s="331"/>
    </row>
    <row r="41" spans="1:8" ht="15" customHeight="1">
      <c r="C41" s="344"/>
      <c r="D41" s="344"/>
      <c r="E41" s="344"/>
      <c r="G41" s="137" t="s">
        <v>107</v>
      </c>
    </row>
    <row r="42" spans="1:8">
      <c r="A42" s="332" t="s">
        <v>106</v>
      </c>
      <c r="B42" s="332"/>
      <c r="C42" s="332"/>
      <c r="D42" s="332"/>
      <c r="E42" s="332"/>
      <c r="F42" s="332"/>
    </row>
    <row r="43" spans="1:8">
      <c r="C43" s="74"/>
      <c r="D43" s="74"/>
      <c r="E43" s="74"/>
    </row>
    <row r="44" spans="1:8">
      <c r="C44" s="74"/>
      <c r="D44" s="74"/>
      <c r="E44" s="74"/>
    </row>
    <row r="45" spans="1:8" ht="18">
      <c r="C45" s="23"/>
    </row>
  </sheetData>
  <sheetProtection algorithmName="SHA-512" hashValue="yDqaqgfTapK2psq/KSijGhfOCjzWvRgp4dcVS1/CLeSQ60qinxwUrThVlvbUvyoz7nGOHnYsb879fQyOSDOruQ==" saltValue="GaLT2Nzx49ZlliYMJXpo6w==" spinCount="100000" sheet="1" objects="1" scenarios="1"/>
  <mergeCells count="12">
    <mergeCell ref="A42:F42"/>
    <mergeCell ref="C40:E41"/>
    <mergeCell ref="B3:D3"/>
    <mergeCell ref="G35:H35"/>
    <mergeCell ref="G34:H34"/>
    <mergeCell ref="B36:C36"/>
    <mergeCell ref="B37:C37"/>
    <mergeCell ref="B38:C38"/>
    <mergeCell ref="B39:C39"/>
    <mergeCell ref="A6:E8"/>
    <mergeCell ref="G39:H40"/>
    <mergeCell ref="G36:H3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6"/>
  <sheetViews>
    <sheetView workbookViewId="0">
      <selection activeCell="M28" sqref="M28"/>
    </sheetView>
  </sheetViews>
  <sheetFormatPr defaultColWidth="8.85546875" defaultRowHeight="15"/>
  <cols>
    <col min="1" max="1" width="3.42578125" customWidth="1"/>
    <col min="2" max="2" width="3.42578125" bestFit="1" customWidth="1"/>
    <col min="3" max="3" width="5.42578125" bestFit="1" customWidth="1"/>
    <col min="4" max="4" width="20.85546875" bestFit="1" customWidth="1"/>
    <col min="5" max="5" width="12.140625" bestFit="1" customWidth="1"/>
    <col min="6" max="6" width="4" customWidth="1"/>
    <col min="7" max="7" width="20" customWidth="1"/>
    <col min="8" max="8" width="5.42578125" bestFit="1" customWidth="1"/>
    <col min="9" max="9" width="4.42578125" customWidth="1"/>
    <col min="10" max="10" width="11.42578125" bestFit="1" customWidth="1"/>
    <col min="11" max="11" width="9.42578125" customWidth="1"/>
    <col min="12" max="12" width="11" customWidth="1"/>
    <col min="13" max="13" width="12.42578125" bestFit="1" customWidth="1"/>
  </cols>
  <sheetData>
    <row r="1" spans="1:11">
      <c r="B1" s="58" t="s">
        <v>70</v>
      </c>
      <c r="C1" s="58"/>
      <c r="D1" s="75"/>
    </row>
    <row r="2" spans="1:11">
      <c r="B2" s="58"/>
      <c r="C2" s="58"/>
    </row>
    <row r="3" spans="1:11">
      <c r="B3" s="333" t="s">
        <v>71</v>
      </c>
      <c r="C3" s="333"/>
      <c r="D3" s="333"/>
      <c r="E3" s="82">
        <f>'Production Guide'!E2</f>
        <v>4500</v>
      </c>
      <c r="F3" s="82"/>
    </row>
    <row r="4" spans="1:11" ht="15" customHeight="1"/>
    <row r="5" spans="1:11" ht="15" customHeight="1" thickBot="1"/>
    <row r="6" spans="1:11" ht="15.75" customHeight="1" thickBot="1">
      <c r="A6" s="335" t="s">
        <v>72</v>
      </c>
      <c r="B6" s="336"/>
      <c r="C6" s="336"/>
      <c r="D6" s="336"/>
      <c r="E6" s="337"/>
      <c r="G6" s="76" t="s">
        <v>73</v>
      </c>
      <c r="H6" s="81" t="s">
        <v>74</v>
      </c>
    </row>
    <row r="7" spans="1:11" ht="15" customHeight="1">
      <c r="A7" s="338"/>
      <c r="B7" s="339"/>
      <c r="C7" s="339"/>
      <c r="D7" s="339"/>
      <c r="E7" s="340"/>
      <c r="G7" s="77" t="s">
        <v>75</v>
      </c>
      <c r="H7" s="40">
        <f>Future!AE5</f>
        <v>2.1530937928241771</v>
      </c>
    </row>
    <row r="8" spans="1:11" ht="15.75" customHeight="1" thickBot="1">
      <c r="A8" s="341"/>
      <c r="B8" s="342"/>
      <c r="C8" s="342"/>
      <c r="D8" s="342"/>
      <c r="E8" s="343"/>
      <c r="G8" s="78" t="s">
        <v>76</v>
      </c>
      <c r="H8" s="42">
        <f>Future!AE6</f>
        <v>1.7330888885278137</v>
      </c>
      <c r="J8" s="27"/>
    </row>
    <row r="9" spans="1:11" ht="15.75" thickBot="1">
      <c r="A9" s="100" t="s">
        <v>5</v>
      </c>
      <c r="B9" s="104" t="s">
        <v>6</v>
      </c>
      <c r="C9" s="103" t="s">
        <v>77</v>
      </c>
      <c r="D9" s="106" t="s">
        <v>4</v>
      </c>
      <c r="E9" s="107" t="s">
        <v>78</v>
      </c>
      <c r="G9" s="78" t="s">
        <v>79</v>
      </c>
      <c r="H9" s="42">
        <f>Future!AE7</f>
        <v>2.402858373357367</v>
      </c>
      <c r="I9" s="26"/>
      <c r="J9" s="26"/>
    </row>
    <row r="10" spans="1:11">
      <c r="A10" s="131">
        <f>'Production Guide'!E8</f>
        <v>9</v>
      </c>
      <c r="B10" s="132">
        <f>'Production Guide'!K8</f>
        <v>13</v>
      </c>
      <c r="C10" s="94" t="s">
        <v>84</v>
      </c>
      <c r="D10" s="28" t="s">
        <v>11</v>
      </c>
      <c r="E10" s="34">
        <f>'Production Guide'!Y8</f>
        <v>38</v>
      </c>
      <c r="G10" s="78" t="s">
        <v>81</v>
      </c>
      <c r="H10" s="42">
        <f>Future!AE8</f>
        <v>1.0910273226086851</v>
      </c>
      <c r="J10" s="26"/>
    </row>
    <row r="11" spans="1:11" ht="15.75" thickBot="1">
      <c r="A11" s="133">
        <f>'Production Guide'!E9</f>
        <v>5</v>
      </c>
      <c r="B11" s="134">
        <f>'Production Guide'!K9</f>
        <v>6</v>
      </c>
      <c r="C11" s="95" t="s">
        <v>84</v>
      </c>
      <c r="D11" t="s">
        <v>13</v>
      </c>
      <c r="E11" s="35">
        <f>'Production Guide'!Y9</f>
        <v>17</v>
      </c>
      <c r="G11" s="79" t="s">
        <v>82</v>
      </c>
      <c r="H11" s="62">
        <f>Future!AF9</f>
        <v>2</v>
      </c>
      <c r="J11" s="26"/>
    </row>
    <row r="12" spans="1:11" ht="15.75" thickBot="1">
      <c r="A12" s="101">
        <f>'Production Guide'!E17</f>
        <v>4</v>
      </c>
      <c r="B12" s="187">
        <f>'Production Guide'!K17</f>
        <v>4</v>
      </c>
      <c r="C12" s="95" t="s">
        <v>84</v>
      </c>
      <c r="D12" s="1" t="s">
        <v>29</v>
      </c>
      <c r="E12" s="35">
        <f>'Production Guide'!Y17</f>
        <v>15</v>
      </c>
      <c r="G12" s="73"/>
      <c r="H12" s="68"/>
      <c r="J12" s="26"/>
    </row>
    <row r="13" spans="1:11" ht="16.5" customHeight="1" thickBot="1">
      <c r="A13" s="101">
        <f>'Production Guide'!E20</f>
        <v>3</v>
      </c>
      <c r="B13" s="187">
        <f>'Production Guide'!K20</f>
        <v>2</v>
      </c>
      <c r="C13" s="109" t="s">
        <v>84</v>
      </c>
      <c r="D13" s="143" t="s">
        <v>86</v>
      </c>
      <c r="E13" s="89">
        <f>'Production Guide'!Y20</f>
        <v>8</v>
      </c>
      <c r="G13" s="47" t="s">
        <v>67</v>
      </c>
      <c r="H13" s="65" t="s">
        <v>57</v>
      </c>
      <c r="J13" s="24"/>
    </row>
    <row r="14" spans="1:11" ht="18.75" thickTop="1">
      <c r="A14" s="149">
        <f>'Production Guide'!E10</f>
        <v>2</v>
      </c>
      <c r="B14" s="148">
        <f>'Production Guide'!K10</f>
        <v>3</v>
      </c>
      <c r="C14" s="142" t="s">
        <v>109</v>
      </c>
      <c r="D14" s="3" t="s">
        <v>15</v>
      </c>
      <c r="E14" s="151">
        <f>'Production Guide'!Y10</f>
        <v>9</v>
      </c>
      <c r="G14" s="43" t="s">
        <v>68</v>
      </c>
      <c r="H14" s="51">
        <f>'All Data'!G85</f>
        <v>9</v>
      </c>
      <c r="J14" s="24"/>
    </row>
    <row r="15" spans="1:11" ht="18.75" thickBot="1">
      <c r="A15" s="101">
        <f>'Production Guide'!E12</f>
        <v>4</v>
      </c>
      <c r="B15" s="90">
        <f>'Production Guide'!K12</f>
        <v>4</v>
      </c>
      <c r="C15" s="95" t="s">
        <v>109</v>
      </c>
      <c r="D15" s="3" t="s">
        <v>19</v>
      </c>
      <c r="E15" s="35">
        <f>'Production Guide'!Y12</f>
        <v>15</v>
      </c>
      <c r="G15" s="44" t="s">
        <v>69</v>
      </c>
      <c r="H15" s="83">
        <f>'All Data'!G86</f>
        <v>9</v>
      </c>
      <c r="I15" s="64"/>
      <c r="J15" s="24"/>
    </row>
    <row r="16" spans="1:11" ht="18">
      <c r="A16" s="101">
        <f>'Production Guide'!E19</f>
        <v>3</v>
      </c>
      <c r="B16" s="187">
        <f>'Production Guide'!K19</f>
        <v>2</v>
      </c>
      <c r="C16" s="96" t="s">
        <v>109</v>
      </c>
      <c r="D16" s="1" t="s">
        <v>33</v>
      </c>
      <c r="E16" s="35">
        <f>'Production Guide'!Y19</f>
        <v>8</v>
      </c>
      <c r="H16" s="152"/>
      <c r="I16" s="64"/>
      <c r="J16" s="24"/>
      <c r="K16" s="23"/>
    </row>
    <row r="17" spans="1:11" ht="18">
      <c r="A17" s="133">
        <f>'Production Guide'!E21</f>
        <v>4</v>
      </c>
      <c r="B17" s="134">
        <f>'Production Guide'!K21</f>
        <v>3</v>
      </c>
      <c r="C17" s="96" t="s">
        <v>109</v>
      </c>
      <c r="D17" s="1" t="s">
        <v>36</v>
      </c>
      <c r="E17" s="35">
        <f>'Production Guide'!Y21</f>
        <v>8</v>
      </c>
      <c r="H17" s="152"/>
      <c r="I17" s="64"/>
      <c r="J17" s="24"/>
      <c r="K17" s="23"/>
    </row>
    <row r="18" spans="1:11" ht="18.75" thickBot="1">
      <c r="A18" s="138">
        <f>'Production Guide'!E22</f>
        <v>2</v>
      </c>
      <c r="B18" s="139">
        <f>'Production Guide'!K22</f>
        <v>1</v>
      </c>
      <c r="C18" s="110" t="s">
        <v>109</v>
      </c>
      <c r="D18" s="88" t="s">
        <v>85</v>
      </c>
      <c r="E18" s="144">
        <f>'Production Guide'!Y22</f>
        <v>4</v>
      </c>
      <c r="J18" s="24"/>
      <c r="K18" s="23"/>
    </row>
    <row r="19" spans="1:11" ht="18.75" thickTop="1">
      <c r="A19" s="188">
        <f>'Production Guide'!E16</f>
        <v>0</v>
      </c>
      <c r="B19" s="148">
        <f>'Production Guide'!K16</f>
        <v>0</v>
      </c>
      <c r="C19" s="96" t="s">
        <v>110</v>
      </c>
      <c r="D19" s="189" t="s">
        <v>27</v>
      </c>
      <c r="E19" s="89">
        <f>'Production Guide'!Y16</f>
        <v>0</v>
      </c>
      <c r="J19" s="24"/>
      <c r="K19" s="23"/>
    </row>
    <row r="20" spans="1:11" ht="18">
      <c r="A20" s="101">
        <f>'Production Guide'!E15</f>
        <v>3</v>
      </c>
      <c r="B20" s="90">
        <f>'Production Guide'!K15</f>
        <v>3</v>
      </c>
      <c r="C20" s="96" t="s">
        <v>110</v>
      </c>
      <c r="D20" s="1" t="s">
        <v>83</v>
      </c>
      <c r="E20" s="35">
        <f>'Production Guide'!Y15</f>
        <v>10</v>
      </c>
      <c r="J20" s="24"/>
      <c r="K20" s="23"/>
    </row>
    <row r="21" spans="1:11" ht="18">
      <c r="A21" s="159">
        <f>'Production Guide'!E6</f>
        <v>2</v>
      </c>
      <c r="B21" s="90">
        <f>'Production Guide'!K6</f>
        <v>2</v>
      </c>
      <c r="C21" s="109" t="s">
        <v>110</v>
      </c>
      <c r="D21" s="130" t="s">
        <v>7</v>
      </c>
      <c r="E21" s="69">
        <f>'Production Guide'!Y6</f>
        <v>7</v>
      </c>
      <c r="F21" s="66"/>
      <c r="J21" s="24"/>
      <c r="K21" s="23"/>
    </row>
    <row r="22" spans="1:11" ht="18.75" thickBot="1">
      <c r="A22" s="147">
        <f>'Production Guide'!E11</f>
        <v>9</v>
      </c>
      <c r="B22" s="146">
        <f>'Production Guide'!K11</f>
        <v>13</v>
      </c>
      <c r="C22" s="110" t="s">
        <v>110</v>
      </c>
      <c r="D22" s="143" t="s">
        <v>17</v>
      </c>
      <c r="E22" s="144">
        <f>'Production Guide'!Y11</f>
        <v>40</v>
      </c>
      <c r="F22" s="160" t="s">
        <v>24</v>
      </c>
      <c r="G22" s="32"/>
      <c r="J22" s="24"/>
    </row>
    <row r="23" spans="1:11" ht="18.75" thickTop="1">
      <c r="A23" s="136">
        <f>'Production Guide'!E18</f>
        <v>5</v>
      </c>
      <c r="B23" s="135">
        <f>'Production Guide'!K18</f>
        <v>5</v>
      </c>
      <c r="C23" s="142" t="s">
        <v>111</v>
      </c>
      <c r="D23" s="3" t="s">
        <v>31</v>
      </c>
      <c r="E23" s="70">
        <f>'Production Guide'!Y18</f>
        <v>21</v>
      </c>
      <c r="F23" s="99">
        <f>E26/3</f>
        <v>3</v>
      </c>
      <c r="H23" s="45"/>
      <c r="I23" s="25"/>
      <c r="J23" s="23"/>
    </row>
    <row r="24" spans="1:11" ht="18">
      <c r="A24" s="101">
        <f>'Production Guide'!E13</f>
        <v>3</v>
      </c>
      <c r="B24" s="187">
        <f>'Production Guide'!K13</f>
        <v>4</v>
      </c>
      <c r="C24" s="96" t="s">
        <v>111</v>
      </c>
      <c r="D24" s="1" t="s">
        <v>21</v>
      </c>
      <c r="E24" s="186">
        <f>'Production Guide'!Y13</f>
        <v>15</v>
      </c>
      <c r="F24" s="99">
        <f>E26/3</f>
        <v>3</v>
      </c>
      <c r="H24" s="23"/>
      <c r="I24" s="25"/>
      <c r="J24" s="23"/>
    </row>
    <row r="25" spans="1:11" ht="18">
      <c r="A25" s="101">
        <f>'Production Guide'!E7</f>
        <v>3</v>
      </c>
      <c r="B25" s="187">
        <f>'Production Guide'!K7</f>
        <v>3</v>
      </c>
      <c r="C25" s="96" t="s">
        <v>111</v>
      </c>
      <c r="D25" s="1" t="s">
        <v>9</v>
      </c>
      <c r="E25" s="186">
        <f>'Production Guide'!Y7</f>
        <v>14</v>
      </c>
      <c r="F25" s="99">
        <f>E26/3</f>
        <v>3</v>
      </c>
      <c r="J25" s="23"/>
    </row>
    <row r="26" spans="1:11" ht="18.75" thickBot="1">
      <c r="A26" s="102">
        <f>'Production Guide'!E14</f>
        <v>3</v>
      </c>
      <c r="B26" s="241">
        <f>'Production Guide'!K14</f>
        <v>2</v>
      </c>
      <c r="C26" s="97" t="s">
        <v>111</v>
      </c>
      <c r="D26" s="1" t="s">
        <v>23</v>
      </c>
      <c r="E26" s="35">
        <f>MROUND('Production Guide'!Y14,3)</f>
        <v>9</v>
      </c>
      <c r="J26" s="23"/>
    </row>
    <row r="27" spans="1:11" ht="15.75" thickBot="1">
      <c r="A27" s="73"/>
      <c r="C27" s="180"/>
      <c r="D27" s="46" t="s">
        <v>87</v>
      </c>
      <c r="E27" s="72">
        <f>SUM(E10:E26)-E13-E17-E18-E26</f>
        <v>209</v>
      </c>
      <c r="G27" s="86" t="s">
        <v>90</v>
      </c>
      <c r="H27" s="48"/>
    </row>
    <row r="28" spans="1:11" ht="15.75" thickBot="1">
      <c r="E28" s="68"/>
      <c r="G28" s="66" t="s">
        <v>92</v>
      </c>
      <c r="H28" s="203"/>
      <c r="I28" s="85"/>
    </row>
    <row r="29" spans="1:11" ht="15.75" thickBot="1">
      <c r="C29" s="49" t="s">
        <v>77</v>
      </c>
      <c r="D29" s="49" t="s">
        <v>88</v>
      </c>
      <c r="E29" s="49" t="s">
        <v>89</v>
      </c>
      <c r="G29" s="66" t="s">
        <v>94</v>
      </c>
      <c r="H29" s="84"/>
    </row>
    <row r="30" spans="1:11">
      <c r="C30" s="53" t="s">
        <v>80</v>
      </c>
      <c r="D30" s="31" t="s">
        <v>91</v>
      </c>
      <c r="E30" s="34">
        <f>(E15+E22)*0.25</f>
        <v>13.75</v>
      </c>
      <c r="G30" s="14" t="s">
        <v>96</v>
      </c>
      <c r="H30" s="84"/>
      <c r="I30" s="67"/>
    </row>
    <row r="31" spans="1:11" ht="15.75" thickBot="1">
      <c r="C31" s="54" t="s">
        <v>80</v>
      </c>
      <c r="D31" s="15" t="s">
        <v>93</v>
      </c>
      <c r="E31" s="35">
        <f>E12*0.25</f>
        <v>3.75</v>
      </c>
      <c r="G31" s="44" t="s">
        <v>98</v>
      </c>
      <c r="H31" s="154"/>
    </row>
    <row r="32" spans="1:11">
      <c r="C32" s="54" t="s">
        <v>80</v>
      </c>
      <c r="D32" s="15" t="s">
        <v>95</v>
      </c>
      <c r="E32" s="35">
        <f>E14*0.25</f>
        <v>2.25</v>
      </c>
      <c r="G32" s="73"/>
      <c r="H32" s="73"/>
    </row>
    <row r="33" spans="1:8" ht="15.75" thickBot="1">
      <c r="C33" s="54" t="s">
        <v>80</v>
      </c>
      <c r="D33" s="196" t="s">
        <v>97</v>
      </c>
      <c r="E33" s="89">
        <f>(E23*0.25)+(E19*0.25)</f>
        <v>5.25</v>
      </c>
    </row>
    <row r="34" spans="1:8" ht="15.75" thickBot="1">
      <c r="C34" s="194" t="s">
        <v>80</v>
      </c>
      <c r="D34" s="10" t="s">
        <v>112</v>
      </c>
      <c r="E34" s="36">
        <f>E15*0.25</f>
        <v>3.75</v>
      </c>
      <c r="G34" s="352" t="s">
        <v>102</v>
      </c>
      <c r="H34" s="353"/>
    </row>
    <row r="35" spans="1:8" ht="15.75" thickBot="1">
      <c r="C35" s="180"/>
      <c r="D35" s="50" t="s">
        <v>100</v>
      </c>
      <c r="E35" s="81" t="s">
        <v>101</v>
      </c>
      <c r="G35" s="350">
        <f>Future!W24</f>
        <v>205</v>
      </c>
      <c r="H35" s="351"/>
    </row>
    <row r="36" spans="1:8">
      <c r="B36" s="327"/>
      <c r="C36" s="334"/>
      <c r="D36" s="37" t="s">
        <v>40</v>
      </c>
      <c r="E36" s="40">
        <f>'Production Guide'!K26</f>
        <v>4.3061875856483542</v>
      </c>
      <c r="G36" s="331" t="s">
        <v>103</v>
      </c>
      <c r="H36" s="331"/>
    </row>
    <row r="37" spans="1:8">
      <c r="B37" s="327"/>
      <c r="C37" s="334"/>
      <c r="D37" s="38" t="s">
        <v>42</v>
      </c>
      <c r="E37" s="41">
        <f>'Production Guide'!K27</f>
        <v>1.7330888885278137</v>
      </c>
      <c r="G37" s="331"/>
      <c r="H37" s="331"/>
    </row>
    <row r="38" spans="1:8" ht="15" customHeight="1">
      <c r="B38" s="327"/>
      <c r="C38" s="334"/>
      <c r="D38" s="39" t="s">
        <v>44</v>
      </c>
      <c r="E38" s="42">
        <f>'Production Guide'!K28</f>
        <v>4.2050021533753918</v>
      </c>
      <c r="G38" s="331"/>
      <c r="H38" s="331"/>
    </row>
    <row r="39" spans="1:8" ht="15.75" thickBot="1">
      <c r="B39" s="327"/>
      <c r="C39" s="334"/>
      <c r="D39" s="63" t="s">
        <v>46</v>
      </c>
      <c r="E39" s="62">
        <f>'Production Guide'!K29</f>
        <v>2.7275683065217127</v>
      </c>
      <c r="G39" s="331" t="s">
        <v>105</v>
      </c>
      <c r="H39" s="331"/>
    </row>
    <row r="40" spans="1:8">
      <c r="C40" s="26"/>
      <c r="G40" s="331"/>
      <c r="H40" s="331"/>
    </row>
    <row r="41" spans="1:8">
      <c r="C41" s="344" t="s">
        <v>104</v>
      </c>
      <c r="D41" s="344"/>
      <c r="E41" s="344"/>
      <c r="G41" s="137" t="s">
        <v>107</v>
      </c>
    </row>
    <row r="42" spans="1:8">
      <c r="C42" s="344"/>
      <c r="D42" s="344"/>
      <c r="E42" s="344"/>
    </row>
    <row r="43" spans="1:8">
      <c r="A43" s="332" t="s">
        <v>106</v>
      </c>
      <c r="B43" s="332"/>
      <c r="C43" s="332"/>
      <c r="D43" s="332"/>
      <c r="E43" s="332"/>
      <c r="F43" s="332"/>
    </row>
    <row r="44" spans="1:8">
      <c r="C44" s="74"/>
      <c r="D44" s="74"/>
      <c r="E44" s="74"/>
    </row>
    <row r="45" spans="1:8">
      <c r="C45" s="74"/>
      <c r="D45" s="74"/>
      <c r="E45" s="74"/>
    </row>
    <row r="46" spans="1:8" ht="18">
      <c r="C46" s="23"/>
    </row>
  </sheetData>
  <sheetProtection algorithmName="SHA-512" hashValue="Inrql1qQxGWVJkR52TGI4CVbHNX4mSl4fYja+oVBDmxsxZ+Sph3xBd/x7NgppVfsC3TvCMpBCsvD7dxAYN1MdA==" saltValue="W6CvUBOiyPOnu5LxGm2L8Q==" spinCount="100000" sheet="1" objects="1" scenarios="1"/>
  <mergeCells count="12">
    <mergeCell ref="G35:H35"/>
    <mergeCell ref="G39:H40"/>
    <mergeCell ref="G36:H38"/>
    <mergeCell ref="B3:D3"/>
    <mergeCell ref="A6:E8"/>
    <mergeCell ref="B36:C36"/>
    <mergeCell ref="G34:H34"/>
    <mergeCell ref="A43:F43"/>
    <mergeCell ref="B38:C38"/>
    <mergeCell ref="B39:C39"/>
    <mergeCell ref="C41:E42"/>
    <mergeCell ref="B37:C3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02"/>
  <sheetViews>
    <sheetView zoomScale="112" zoomScaleNormal="112" zoomScalePageLayoutView="70" workbookViewId="0">
      <selection activeCell="C5" sqref="C5"/>
    </sheetView>
  </sheetViews>
  <sheetFormatPr defaultColWidth="8.85546875" defaultRowHeight="15"/>
  <cols>
    <col min="1" max="1" width="10.140625" bestFit="1" customWidth="1"/>
    <col min="2" max="2" width="15.42578125" customWidth="1"/>
    <col min="5" max="5" width="8.85546875" customWidth="1"/>
    <col min="6" max="6" width="11.85546875" bestFit="1" customWidth="1"/>
    <col min="7" max="7" width="8.42578125" customWidth="1"/>
    <col min="8" max="8" width="9.85546875" customWidth="1"/>
    <col min="9" max="9" width="8.42578125" customWidth="1"/>
    <col min="10" max="11" width="9.42578125" customWidth="1"/>
    <col min="12" max="15" width="8.42578125" customWidth="1"/>
    <col min="16" max="16" width="15.42578125" customWidth="1"/>
    <col min="17" max="17" width="8.42578125" customWidth="1"/>
    <col min="19" max="19" width="8.42578125" customWidth="1"/>
    <col min="20" max="20" width="10.42578125" customWidth="1"/>
    <col min="21" max="25" width="8.42578125" customWidth="1"/>
    <col min="28" max="28" width="18.42578125" customWidth="1"/>
    <col min="29" max="29" width="12" customWidth="1"/>
    <col min="30" max="30" width="14.140625" bestFit="1" customWidth="1"/>
    <col min="31" max="32" width="18.42578125" bestFit="1" customWidth="1"/>
  </cols>
  <sheetData>
    <row r="1" spans="1:32" ht="15.75" thickBot="1"/>
    <row r="2" spans="1:32" ht="12.6" customHeight="1">
      <c r="C2" s="369" t="s">
        <v>113</v>
      </c>
      <c r="D2" s="370"/>
      <c r="E2" s="2"/>
      <c r="F2" s="267" t="s">
        <v>190</v>
      </c>
      <c r="G2" s="389" t="s">
        <v>195</v>
      </c>
      <c r="H2" s="390"/>
      <c r="I2" s="266"/>
      <c r="J2" s="91"/>
    </row>
    <row r="3" spans="1:32">
      <c r="A3" s="197"/>
      <c r="B3" s="197"/>
      <c r="C3" s="371">
        <v>142579.54</v>
      </c>
      <c r="D3" s="372"/>
      <c r="E3" s="227"/>
      <c r="F3" s="268" t="s">
        <v>70</v>
      </c>
      <c r="G3" s="391" t="s">
        <v>196</v>
      </c>
      <c r="H3" s="392"/>
      <c r="I3" s="266"/>
    </row>
    <row r="4" spans="1:32" ht="14.45" customHeight="1" thickBot="1">
      <c r="A4" s="197"/>
      <c r="B4" s="197"/>
      <c r="C4" s="373"/>
      <c r="D4" s="374"/>
      <c r="E4" s="227"/>
      <c r="F4" s="269" t="s">
        <v>191</v>
      </c>
      <c r="G4" s="393" t="s">
        <v>197</v>
      </c>
      <c r="H4" s="394"/>
      <c r="I4" s="266"/>
    </row>
    <row r="7" spans="1:32" ht="15.75" thickBot="1">
      <c r="P7" s="17" t="s">
        <v>114</v>
      </c>
    </row>
    <row r="8" spans="1:32" ht="14.45" customHeight="1">
      <c r="A8" s="375" t="s">
        <v>115</v>
      </c>
      <c r="B8" s="376"/>
      <c r="C8" s="377"/>
      <c r="D8" s="8"/>
      <c r="E8" s="8"/>
      <c r="F8" s="8"/>
      <c r="G8" s="8"/>
      <c r="H8" s="8"/>
      <c r="I8" s="8"/>
      <c r="J8" s="8"/>
      <c r="P8" t="s">
        <v>116</v>
      </c>
      <c r="Q8" s="202"/>
      <c r="R8" s="202"/>
      <c r="S8" s="202"/>
    </row>
    <row r="9" spans="1:32" ht="15" customHeight="1" thickBot="1">
      <c r="A9" s="378"/>
      <c r="B9" s="379"/>
      <c r="C9" s="380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t="s">
        <v>117</v>
      </c>
      <c r="Q9" s="202"/>
      <c r="R9" s="202"/>
      <c r="S9" s="202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spans="1:32" ht="15" customHeight="1" thickBot="1">
      <c r="A10" s="383" t="s">
        <v>118</v>
      </c>
      <c r="B10" s="384"/>
      <c r="C10" s="217"/>
      <c r="D10" s="67"/>
      <c r="E10" s="29"/>
      <c r="F10" s="214" t="s">
        <v>4</v>
      </c>
      <c r="G10" s="214" t="s">
        <v>119</v>
      </c>
      <c r="H10" s="214" t="s">
        <v>120</v>
      </c>
      <c r="I10" s="214" t="s">
        <v>121</v>
      </c>
      <c r="J10" s="214" t="s">
        <v>122</v>
      </c>
      <c r="K10" s="8"/>
      <c r="L10" s="8"/>
      <c r="M10" s="8"/>
      <c r="N10" s="8"/>
      <c r="O10" s="8"/>
      <c r="P10" t="s">
        <v>123</v>
      </c>
      <c r="Q10" s="202"/>
      <c r="R10" s="202"/>
      <c r="S10" s="202"/>
      <c r="T10" s="8"/>
      <c r="U10" s="8"/>
      <c r="V10" s="8"/>
      <c r="W10" s="8"/>
    </row>
    <row r="11" spans="1:32" ht="15" customHeight="1">
      <c r="A11" s="361" t="s">
        <v>7</v>
      </c>
      <c r="B11" s="284"/>
      <c r="C11" s="261">
        <v>31</v>
      </c>
      <c r="D11" s="67"/>
      <c r="E11" s="29"/>
      <c r="F11" s="247" t="s">
        <v>8</v>
      </c>
      <c r="G11" s="3">
        <f>C11</f>
        <v>31</v>
      </c>
      <c r="H11" s="56">
        <f>G11/2</f>
        <v>15.5</v>
      </c>
      <c r="I11" s="9">
        <f>G11/($C$3/100)</f>
        <v>2.1742249974996412E-2</v>
      </c>
      <c r="J11" s="11">
        <f>'Production Guide'!C6-'Production Guide'!D6</f>
        <v>2</v>
      </c>
      <c r="K11" s="8"/>
      <c r="L11" s="8"/>
      <c r="M11" s="8"/>
      <c r="N11" s="8"/>
      <c r="O11" s="8"/>
      <c r="P11" t="s">
        <v>124</v>
      </c>
      <c r="Q11" s="202"/>
      <c r="R11" s="202"/>
      <c r="S11" s="202"/>
      <c r="T11" s="8"/>
      <c r="U11" s="8"/>
      <c r="V11" s="8"/>
      <c r="W11" s="8"/>
    </row>
    <row r="12" spans="1:32" ht="15" customHeight="1">
      <c r="A12" s="366" t="s">
        <v>9</v>
      </c>
      <c r="B12" s="307"/>
      <c r="C12" s="208">
        <v>52</v>
      </c>
      <c r="D12" s="67"/>
      <c r="E12" s="29"/>
      <c r="F12" s="177" t="s">
        <v>125</v>
      </c>
      <c r="G12" s="3">
        <f t="shared" ref="G12:G27" si="0">C12</f>
        <v>52</v>
      </c>
      <c r="H12" s="56">
        <f>G12/2</f>
        <v>26</v>
      </c>
      <c r="I12" s="9">
        <f t="shared" ref="I12:I27" si="1">G12/($C$3/100)</f>
        <v>3.6470870925800432E-2</v>
      </c>
      <c r="J12" s="11">
        <f>'Production Guide'!C7-'Production Guide'!D7</f>
        <v>3</v>
      </c>
      <c r="K12" s="8"/>
      <c r="L12" s="8"/>
      <c r="M12" s="8"/>
      <c r="N12" s="8"/>
      <c r="O12" s="8"/>
      <c r="P12" s="202"/>
      <c r="Q12" s="202"/>
      <c r="R12" s="202"/>
      <c r="S12" s="202"/>
      <c r="T12" s="8"/>
      <c r="U12" s="8"/>
      <c r="V12" s="8"/>
      <c r="W12" s="8"/>
    </row>
    <row r="13" spans="1:32" ht="15" customHeight="1">
      <c r="A13" s="360" t="s">
        <v>11</v>
      </c>
      <c r="B13" s="285"/>
      <c r="C13" s="209">
        <v>195</v>
      </c>
      <c r="D13" s="67"/>
      <c r="E13" s="29"/>
      <c r="F13" s="15" t="s">
        <v>12</v>
      </c>
      <c r="G13" s="3">
        <f t="shared" si="0"/>
        <v>195</v>
      </c>
      <c r="H13" s="56">
        <f t="shared" ref="H13:H27" si="2">G13/2</f>
        <v>97.5</v>
      </c>
      <c r="I13" s="9">
        <f t="shared" si="1"/>
        <v>0.13676576597175163</v>
      </c>
      <c r="J13" s="11">
        <f>'Production Guide'!C8-'Production Guide'!D8</f>
        <v>9</v>
      </c>
      <c r="K13" s="8"/>
      <c r="L13" s="8"/>
      <c r="M13" s="8"/>
      <c r="N13" s="8"/>
      <c r="O13" s="8"/>
      <c r="P13" s="202"/>
      <c r="Q13" s="202"/>
      <c r="R13" s="202"/>
      <c r="S13" s="202"/>
      <c r="T13" s="8"/>
      <c r="U13" s="8"/>
      <c r="V13" s="8"/>
      <c r="W13" s="8"/>
    </row>
    <row r="14" spans="1:32" ht="15" customHeight="1">
      <c r="A14" s="360" t="s">
        <v>13</v>
      </c>
      <c r="B14" s="285"/>
      <c r="C14" s="209">
        <v>106</v>
      </c>
      <c r="D14" s="67"/>
      <c r="E14" s="29"/>
      <c r="F14" s="15" t="s">
        <v>14</v>
      </c>
      <c r="G14" s="3">
        <f t="shared" si="0"/>
        <v>106</v>
      </c>
      <c r="H14" s="56">
        <f t="shared" si="2"/>
        <v>53</v>
      </c>
      <c r="I14" s="9">
        <f t="shared" si="1"/>
        <v>7.4344467656439345E-2</v>
      </c>
      <c r="J14" s="11">
        <f>'Production Guide'!C9-'Production Guide'!D9</f>
        <v>5</v>
      </c>
      <c r="K14" s="8"/>
      <c r="L14" s="8"/>
      <c r="M14" s="8"/>
      <c r="N14" s="8"/>
      <c r="O14" s="8"/>
      <c r="P14" s="202"/>
      <c r="Q14" s="202"/>
      <c r="R14" s="202"/>
      <c r="S14" s="202"/>
      <c r="T14" s="8"/>
      <c r="U14" s="8"/>
      <c r="V14" s="8"/>
      <c r="W14" s="8"/>
    </row>
    <row r="15" spans="1:32" ht="15" customHeight="1">
      <c r="A15" s="360" t="s">
        <v>15</v>
      </c>
      <c r="B15" s="285"/>
      <c r="C15" s="209">
        <v>41</v>
      </c>
      <c r="D15" s="67"/>
      <c r="E15" s="29"/>
      <c r="F15" s="15" t="s">
        <v>16</v>
      </c>
      <c r="G15" s="3">
        <f t="shared" si="0"/>
        <v>41</v>
      </c>
      <c r="H15" s="56">
        <f t="shared" si="2"/>
        <v>20.5</v>
      </c>
      <c r="I15" s="9">
        <f t="shared" si="1"/>
        <v>2.8755878999188803E-2</v>
      </c>
      <c r="J15" s="11">
        <f>'Production Guide'!C10-'Production Guide'!D10</f>
        <v>2</v>
      </c>
      <c r="K15" s="8"/>
      <c r="L15" s="8"/>
      <c r="M15" s="8"/>
      <c r="N15" s="8"/>
      <c r="O15" s="8"/>
      <c r="P15" s="202"/>
      <c r="Q15" s="202"/>
      <c r="R15" s="202"/>
      <c r="S15" s="202"/>
      <c r="T15" s="8"/>
      <c r="U15" s="8"/>
      <c r="V15" s="8"/>
      <c r="W15" s="8"/>
    </row>
    <row r="16" spans="1:32" ht="15" customHeight="1">
      <c r="A16" s="360" t="s">
        <v>17</v>
      </c>
      <c r="B16" s="285"/>
      <c r="C16" s="209">
        <v>189</v>
      </c>
      <c r="D16" s="67"/>
      <c r="E16" s="29"/>
      <c r="F16" s="15" t="s">
        <v>18</v>
      </c>
      <c r="G16" s="3">
        <f t="shared" si="0"/>
        <v>189</v>
      </c>
      <c r="H16" s="56">
        <f t="shared" si="2"/>
        <v>94.5</v>
      </c>
      <c r="I16" s="9">
        <f t="shared" si="1"/>
        <v>0.13255758855723621</v>
      </c>
      <c r="J16" s="11">
        <f>'Production Guide'!C11-'Production Guide'!D11</f>
        <v>9</v>
      </c>
      <c r="K16" s="8"/>
      <c r="L16" s="8"/>
      <c r="M16" s="8"/>
      <c r="N16" s="8"/>
      <c r="O16" s="8"/>
      <c r="P16" s="202"/>
      <c r="Q16" s="202"/>
      <c r="R16" s="202"/>
      <c r="S16" s="202"/>
      <c r="T16" s="8"/>
      <c r="U16" s="8"/>
      <c r="V16" s="8"/>
      <c r="W16" s="8"/>
    </row>
    <row r="17" spans="1:32" ht="15" customHeight="1">
      <c r="A17" s="360" t="s">
        <v>19</v>
      </c>
      <c r="B17" s="285"/>
      <c r="C17" s="209">
        <v>88</v>
      </c>
      <c r="D17" s="67"/>
      <c r="E17" s="29"/>
      <c r="F17" s="15" t="s">
        <v>20</v>
      </c>
      <c r="G17" s="3">
        <f t="shared" si="0"/>
        <v>88</v>
      </c>
      <c r="H17" s="56">
        <f t="shared" si="2"/>
        <v>44</v>
      </c>
      <c r="I17" s="9">
        <f t="shared" si="1"/>
        <v>6.1719935412893043E-2</v>
      </c>
      <c r="J17" s="11">
        <f>'Production Guide'!C12-'Production Guide'!D12</f>
        <v>4</v>
      </c>
      <c r="K17" s="8"/>
      <c r="L17" s="8"/>
      <c r="M17" s="8"/>
      <c r="N17" s="8"/>
      <c r="O17" s="8"/>
      <c r="P17" s="202"/>
      <c r="Q17" s="202"/>
      <c r="R17" s="202"/>
      <c r="S17" s="202"/>
      <c r="T17" s="8"/>
      <c r="U17" s="8"/>
      <c r="V17" s="8"/>
      <c r="W17" s="8"/>
    </row>
    <row r="18" spans="1:32" ht="15" customHeight="1">
      <c r="A18" s="360" t="s">
        <v>21</v>
      </c>
      <c r="B18" s="285"/>
      <c r="C18" s="209">
        <v>64</v>
      </c>
      <c r="D18" s="67"/>
      <c r="E18" s="29"/>
      <c r="F18" s="15" t="s">
        <v>22</v>
      </c>
      <c r="G18" s="3">
        <f t="shared" si="0"/>
        <v>64</v>
      </c>
      <c r="H18" s="56">
        <f t="shared" si="2"/>
        <v>32</v>
      </c>
      <c r="I18" s="9">
        <f t="shared" si="1"/>
        <v>4.4887225754831304E-2</v>
      </c>
      <c r="J18" s="11">
        <f>'Production Guide'!C13-'Production Guide'!D13</f>
        <v>3</v>
      </c>
      <c r="K18" s="8"/>
      <c r="L18" s="8"/>
      <c r="M18" s="8"/>
      <c r="N18" s="8"/>
      <c r="O18" s="8"/>
      <c r="P18" s="202"/>
      <c r="Q18" s="202"/>
      <c r="R18" s="202"/>
      <c r="S18" s="202"/>
      <c r="T18" s="8"/>
      <c r="U18" s="8"/>
      <c r="V18" s="8"/>
      <c r="W18" s="8"/>
    </row>
    <row r="19" spans="1:32" ht="15" customHeight="1">
      <c r="A19" s="360" t="s">
        <v>23</v>
      </c>
      <c r="B19" s="285"/>
      <c r="C19" s="209">
        <v>50</v>
      </c>
      <c r="D19" s="67"/>
      <c r="E19" s="29"/>
      <c r="F19" s="15" t="s">
        <v>24</v>
      </c>
      <c r="G19" s="3">
        <f t="shared" si="0"/>
        <v>50</v>
      </c>
      <c r="H19" s="56">
        <f t="shared" si="2"/>
        <v>25</v>
      </c>
      <c r="I19" s="9">
        <f t="shared" si="1"/>
        <v>3.5068145120961958E-2</v>
      </c>
      <c r="J19" s="11">
        <f>'Production Guide'!C14-'Production Guide'!D14</f>
        <v>3</v>
      </c>
      <c r="K19" s="8"/>
      <c r="L19" s="8"/>
      <c r="M19" s="8"/>
      <c r="N19" s="8"/>
      <c r="O19" s="8"/>
      <c r="P19" s="202"/>
      <c r="Q19" s="202"/>
      <c r="R19" s="202"/>
      <c r="S19" s="202"/>
      <c r="T19" s="8"/>
      <c r="U19" s="8"/>
      <c r="V19" s="8"/>
      <c r="W19" s="8"/>
    </row>
    <row r="20" spans="1:32" ht="15" customHeight="1">
      <c r="A20" s="360" t="s">
        <v>83</v>
      </c>
      <c r="B20" s="285"/>
      <c r="C20" s="209">
        <v>54</v>
      </c>
      <c r="D20" s="67"/>
      <c r="E20" s="29"/>
      <c r="F20" s="15" t="s">
        <v>26</v>
      </c>
      <c r="G20" s="3">
        <f t="shared" si="0"/>
        <v>54</v>
      </c>
      <c r="H20" s="56">
        <f t="shared" si="2"/>
        <v>27</v>
      </c>
      <c r="I20" s="9">
        <f t="shared" si="1"/>
        <v>3.7873596730638913E-2</v>
      </c>
      <c r="J20" s="11">
        <f>'Production Guide'!C15-'Production Guide'!D15</f>
        <v>3</v>
      </c>
      <c r="K20" s="8"/>
      <c r="L20" s="8"/>
      <c r="M20" s="8"/>
      <c r="N20" s="8"/>
      <c r="O20" s="8"/>
      <c r="P20" s="202"/>
      <c r="Q20" s="202"/>
      <c r="R20" s="202"/>
      <c r="S20" s="202"/>
      <c r="T20" s="8"/>
      <c r="U20" s="8"/>
      <c r="V20" s="8"/>
      <c r="W20" s="8"/>
    </row>
    <row r="21" spans="1:32" ht="15" customHeight="1">
      <c r="A21" s="361" t="s">
        <v>27</v>
      </c>
      <c r="B21" s="284"/>
      <c r="C21" s="209">
        <v>0</v>
      </c>
      <c r="D21" s="67"/>
      <c r="E21" s="29"/>
      <c r="F21" s="15" t="s">
        <v>28</v>
      </c>
      <c r="G21" s="3">
        <f t="shared" si="0"/>
        <v>0</v>
      </c>
      <c r="H21" s="56">
        <f t="shared" si="2"/>
        <v>0</v>
      </c>
      <c r="I21" s="9">
        <f t="shared" si="1"/>
        <v>0</v>
      </c>
      <c r="J21" s="11">
        <f>'Production Guide'!C16-'Production Guide'!D16</f>
        <v>0</v>
      </c>
      <c r="K21" s="8"/>
      <c r="L21" s="8"/>
      <c r="M21" s="8"/>
      <c r="N21" s="8"/>
      <c r="O21" s="8"/>
      <c r="P21" s="202"/>
      <c r="Q21" s="202"/>
      <c r="R21" s="202"/>
      <c r="S21" s="202"/>
      <c r="T21" s="8"/>
      <c r="U21" s="8"/>
      <c r="V21" s="8"/>
      <c r="W21" s="8"/>
    </row>
    <row r="22" spans="1:32" ht="15" customHeight="1">
      <c r="A22" s="360" t="s">
        <v>29</v>
      </c>
      <c r="B22" s="285"/>
      <c r="C22" s="209">
        <v>75</v>
      </c>
      <c r="D22" s="67"/>
      <c r="E22" s="29"/>
      <c r="F22" s="15" t="s">
        <v>30</v>
      </c>
      <c r="G22" s="3">
        <f t="shared" si="0"/>
        <v>75</v>
      </c>
      <c r="H22" s="56">
        <f t="shared" si="2"/>
        <v>37.5</v>
      </c>
      <c r="I22" s="9">
        <f t="shared" si="1"/>
        <v>5.2602217681442937E-2</v>
      </c>
      <c r="J22" s="11">
        <f>'Production Guide'!C17-'Production Guide'!D17</f>
        <v>4</v>
      </c>
      <c r="K22" s="8"/>
      <c r="L22" s="8"/>
      <c r="M22" s="8"/>
      <c r="N22" s="8"/>
      <c r="O22" s="8"/>
      <c r="P22" s="202"/>
      <c r="Q22" s="202"/>
      <c r="R22" s="202"/>
      <c r="S22" s="202"/>
      <c r="T22" s="8"/>
      <c r="U22" s="8"/>
      <c r="V22" s="8"/>
      <c r="W22" s="8"/>
    </row>
    <row r="23" spans="1:32" ht="15" customHeight="1">
      <c r="A23" s="360" t="s">
        <v>31</v>
      </c>
      <c r="B23" s="285"/>
      <c r="C23" s="209">
        <v>94</v>
      </c>
      <c r="D23" s="67"/>
      <c r="E23" s="29"/>
      <c r="F23" s="15" t="s">
        <v>32</v>
      </c>
      <c r="G23" s="3">
        <f t="shared" si="0"/>
        <v>94</v>
      </c>
      <c r="H23" s="56">
        <f t="shared" si="2"/>
        <v>47</v>
      </c>
      <c r="I23" s="9">
        <f t="shared" si="1"/>
        <v>6.5928112827408472E-2</v>
      </c>
      <c r="J23" s="11">
        <f>'Production Guide'!C18-'Production Guide'!D18</f>
        <v>5</v>
      </c>
      <c r="K23" s="8"/>
      <c r="L23" s="8"/>
      <c r="M23" s="8"/>
      <c r="N23" s="8"/>
      <c r="O23" s="8"/>
      <c r="P23" s="202"/>
      <c r="Q23" s="202"/>
      <c r="R23" s="202"/>
      <c r="S23" s="202"/>
      <c r="T23" s="8"/>
      <c r="U23" s="8"/>
      <c r="V23" s="8"/>
      <c r="W23" s="8"/>
    </row>
    <row r="24" spans="1:32" ht="15" customHeight="1">
      <c r="A24" s="360" t="s">
        <v>33</v>
      </c>
      <c r="B24" s="285"/>
      <c r="C24" s="218">
        <v>52</v>
      </c>
      <c r="D24" s="67"/>
      <c r="E24" s="29"/>
      <c r="F24" s="15" t="s">
        <v>33</v>
      </c>
      <c r="G24" s="3">
        <f t="shared" si="0"/>
        <v>52</v>
      </c>
      <c r="H24" s="56">
        <f t="shared" si="2"/>
        <v>26</v>
      </c>
      <c r="I24" s="9">
        <f t="shared" si="1"/>
        <v>3.6470870925800432E-2</v>
      </c>
      <c r="J24" s="11">
        <f>'Production Guide'!C19-'Production Guide'!D19</f>
        <v>3</v>
      </c>
      <c r="K24" s="8"/>
      <c r="L24" s="8"/>
      <c r="M24" s="8"/>
      <c r="N24" s="8"/>
      <c r="O24" s="8"/>
      <c r="P24" s="202"/>
      <c r="Q24" s="202"/>
      <c r="R24" s="202"/>
      <c r="S24" s="202"/>
      <c r="T24" s="8"/>
      <c r="U24" s="8"/>
      <c r="V24" s="8"/>
      <c r="W24" s="8"/>
    </row>
    <row r="25" spans="1:32" ht="15" customHeight="1">
      <c r="A25" s="360" t="s">
        <v>34</v>
      </c>
      <c r="B25" s="283"/>
      <c r="C25" s="209">
        <v>57</v>
      </c>
      <c r="D25" s="67"/>
      <c r="E25" s="29"/>
      <c r="F25" s="15" t="s">
        <v>126</v>
      </c>
      <c r="G25" s="3">
        <f t="shared" si="0"/>
        <v>57</v>
      </c>
      <c r="H25" s="56">
        <f t="shared" si="2"/>
        <v>28.5</v>
      </c>
      <c r="I25" s="9">
        <f t="shared" si="1"/>
        <v>3.9977685437896628E-2</v>
      </c>
      <c r="J25" s="11">
        <f>'Production Guide'!C20-'Production Guide'!D20</f>
        <v>3</v>
      </c>
      <c r="K25" s="8"/>
      <c r="L25" s="8"/>
      <c r="M25" s="8"/>
      <c r="N25" s="8"/>
      <c r="O25" s="8"/>
      <c r="P25" s="202"/>
      <c r="Q25" s="202"/>
      <c r="R25" s="202"/>
      <c r="S25" s="202"/>
      <c r="T25" s="8"/>
      <c r="U25" s="8"/>
      <c r="V25" s="8"/>
      <c r="W25" s="8"/>
    </row>
    <row r="26" spans="1:32" ht="15" customHeight="1">
      <c r="A26" s="360" t="s">
        <v>36</v>
      </c>
      <c r="B26" s="285"/>
      <c r="C26" s="208">
        <v>77</v>
      </c>
      <c r="D26" s="67"/>
      <c r="E26" s="29"/>
      <c r="F26" s="15" t="s">
        <v>37</v>
      </c>
      <c r="G26" s="3">
        <f t="shared" si="0"/>
        <v>77</v>
      </c>
      <c r="H26" s="56">
        <f t="shared" si="2"/>
        <v>38.5</v>
      </c>
      <c r="I26" s="9">
        <f t="shared" si="1"/>
        <v>5.4004943486281411E-2</v>
      </c>
      <c r="J26" s="11">
        <f>'Production Guide'!C21-'Production Guide'!D21</f>
        <v>4</v>
      </c>
      <c r="K26" s="8"/>
      <c r="L26" s="8"/>
      <c r="M26" s="8"/>
      <c r="N26" s="8"/>
      <c r="O26" s="8"/>
      <c r="P26" s="202"/>
      <c r="Q26" s="202"/>
      <c r="R26" s="202"/>
      <c r="S26" s="202"/>
      <c r="T26" s="8"/>
      <c r="U26" s="8"/>
      <c r="V26" s="8"/>
      <c r="W26" s="8"/>
    </row>
    <row r="27" spans="1:32" ht="15" customHeight="1" thickBot="1">
      <c r="A27" s="385" t="s">
        <v>85</v>
      </c>
      <c r="B27" s="386"/>
      <c r="C27" s="205">
        <v>26</v>
      </c>
      <c r="D27" s="67"/>
      <c r="E27" s="29"/>
      <c r="F27" s="30" t="s">
        <v>127</v>
      </c>
      <c r="G27" s="130">
        <f t="shared" si="0"/>
        <v>26</v>
      </c>
      <c r="H27" s="162">
        <f t="shared" si="2"/>
        <v>13</v>
      </c>
      <c r="I27" s="198">
        <f t="shared" si="1"/>
        <v>1.8235435462900216E-2</v>
      </c>
      <c r="J27" s="163">
        <f>'Production Guide'!C22-'Production Guide'!D22</f>
        <v>2</v>
      </c>
      <c r="K27" s="8"/>
      <c r="L27" s="8"/>
      <c r="M27" s="8"/>
      <c r="N27" s="8"/>
      <c r="O27" s="8"/>
      <c r="P27" s="202"/>
      <c r="Q27" s="202"/>
      <c r="R27" s="202"/>
      <c r="S27" s="202"/>
      <c r="T27" s="8"/>
      <c r="U27" s="8"/>
      <c r="V27" s="8"/>
      <c r="W27" s="8"/>
    </row>
    <row r="28" spans="1:32" ht="15" customHeight="1" thickBot="1">
      <c r="A28" s="8"/>
      <c r="B28" s="8"/>
      <c r="C28" s="219"/>
      <c r="D28" s="8"/>
      <c r="E28" s="8"/>
      <c r="F28" s="8"/>
      <c r="G28" s="216"/>
      <c r="H28" s="8"/>
      <c r="I28" s="216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spans="1:32" ht="15.75" thickBot="1">
      <c r="A29" s="358" t="s">
        <v>128</v>
      </c>
      <c r="B29" s="359"/>
      <c r="C29" s="220"/>
      <c r="D29" s="67"/>
      <c r="E29" s="29"/>
      <c r="F29" s="214" t="s">
        <v>4</v>
      </c>
      <c r="G29" s="214" t="s">
        <v>120</v>
      </c>
      <c r="H29" s="214" t="s">
        <v>121</v>
      </c>
      <c r="I29" s="214" t="s">
        <v>122</v>
      </c>
    </row>
    <row r="30" spans="1:32">
      <c r="A30" s="381" t="s">
        <v>7</v>
      </c>
      <c r="B30" s="382"/>
      <c r="C30" s="262">
        <v>37</v>
      </c>
      <c r="F30" s="247" t="s">
        <v>8</v>
      </c>
      <c r="G30" s="3">
        <f>C30</f>
        <v>37</v>
      </c>
      <c r="H30" s="9">
        <f>G30/($C$3/100)</f>
        <v>2.5950427389511848E-2</v>
      </c>
      <c r="I30" s="11">
        <f>'Production Guide'!I6-'Production Guide'!J6</f>
        <v>2</v>
      </c>
    </row>
    <row r="31" spans="1:32">
      <c r="A31" s="366" t="s">
        <v>9</v>
      </c>
      <c r="B31" s="307"/>
      <c r="C31" s="263">
        <v>47</v>
      </c>
      <c r="F31" s="177" t="s">
        <v>125</v>
      </c>
      <c r="G31" s="3">
        <f t="shared" ref="G31:G46" si="3">C31</f>
        <v>47</v>
      </c>
      <c r="H31" s="9">
        <f t="shared" ref="H31:H46" si="4">G31/($C$3/100)</f>
        <v>3.2964056413704236E-2</v>
      </c>
      <c r="I31" s="11">
        <f>'Production Guide'!I7-'Production Guide'!J7</f>
        <v>3</v>
      </c>
    </row>
    <row r="32" spans="1:32">
      <c r="A32" s="360" t="s">
        <v>11</v>
      </c>
      <c r="B32" s="285"/>
      <c r="C32" s="264">
        <v>300</v>
      </c>
      <c r="F32" s="15" t="s">
        <v>12</v>
      </c>
      <c r="G32" s="3">
        <f t="shared" si="3"/>
        <v>300</v>
      </c>
      <c r="H32" s="9">
        <f t="shared" si="4"/>
        <v>0.21040887072577175</v>
      </c>
      <c r="I32" s="11">
        <f>'Production Guide'!I8-'Production Guide'!J8</f>
        <v>13</v>
      </c>
    </row>
    <row r="33" spans="1:32">
      <c r="A33" s="360" t="s">
        <v>13</v>
      </c>
      <c r="B33" s="285"/>
      <c r="C33" s="264">
        <v>132</v>
      </c>
      <c r="F33" s="15" t="s">
        <v>14</v>
      </c>
      <c r="G33" s="3">
        <f t="shared" si="3"/>
        <v>132</v>
      </c>
      <c r="H33" s="9">
        <f t="shared" si="4"/>
        <v>9.2579903119339571E-2</v>
      </c>
      <c r="I33" s="11">
        <f>'Production Guide'!I9-'Production Guide'!J9</f>
        <v>6</v>
      </c>
    </row>
    <row r="34" spans="1:32">
      <c r="A34" s="360" t="s">
        <v>15</v>
      </c>
      <c r="B34" s="285"/>
      <c r="C34" s="264">
        <v>48</v>
      </c>
      <c r="F34" s="15" t="s">
        <v>16</v>
      </c>
      <c r="G34" s="3">
        <f t="shared" si="3"/>
        <v>48</v>
      </c>
      <c r="H34" s="9">
        <f t="shared" si="4"/>
        <v>3.3665419316123477E-2</v>
      </c>
      <c r="I34" s="11">
        <f>'Production Guide'!I10-'Production Guide'!J10</f>
        <v>3</v>
      </c>
    </row>
    <row r="35" spans="1:32">
      <c r="A35" s="360" t="s">
        <v>17</v>
      </c>
      <c r="B35" s="285"/>
      <c r="C35" s="264">
        <v>290</v>
      </c>
      <c r="F35" s="15" t="s">
        <v>18</v>
      </c>
      <c r="G35" s="3">
        <f t="shared" si="3"/>
        <v>290</v>
      </c>
      <c r="H35" s="9">
        <f t="shared" si="4"/>
        <v>0.20339524170157935</v>
      </c>
      <c r="I35" s="11">
        <f>'Production Guide'!I11-'Production Guide'!J11</f>
        <v>13</v>
      </c>
    </row>
    <row r="36" spans="1:32">
      <c r="A36" s="360" t="s">
        <v>19</v>
      </c>
      <c r="B36" s="285"/>
      <c r="C36" s="264">
        <v>92</v>
      </c>
      <c r="D36" s="67"/>
      <c r="F36" s="15" t="s">
        <v>20</v>
      </c>
      <c r="G36" s="3">
        <f t="shared" si="3"/>
        <v>92</v>
      </c>
      <c r="H36" s="9">
        <f t="shared" si="4"/>
        <v>6.4525387022570005E-2</v>
      </c>
      <c r="I36" s="182">
        <f>'Production Guide'!I12-'Production Guide'!J12</f>
        <v>4</v>
      </c>
    </row>
    <row r="37" spans="1:32">
      <c r="A37" s="360" t="s">
        <v>21</v>
      </c>
      <c r="B37" s="285"/>
      <c r="C37" s="264">
        <v>82</v>
      </c>
      <c r="D37" s="67"/>
      <c r="F37" s="15" t="s">
        <v>22</v>
      </c>
      <c r="G37" s="3">
        <f t="shared" si="3"/>
        <v>82</v>
      </c>
      <c r="H37" s="9">
        <f t="shared" si="4"/>
        <v>5.7511757998377606E-2</v>
      </c>
      <c r="I37" s="11">
        <f>'Production Guide'!I13-'Production Guide'!J13</f>
        <v>4</v>
      </c>
    </row>
    <row r="38" spans="1:32">
      <c r="A38" s="360" t="s">
        <v>23</v>
      </c>
      <c r="B38" s="285"/>
      <c r="C38" s="264">
        <v>34</v>
      </c>
      <c r="D38" s="67"/>
      <c r="F38" s="15" t="s">
        <v>24</v>
      </c>
      <c r="G38" s="3">
        <f t="shared" si="3"/>
        <v>34</v>
      </c>
      <c r="H38" s="9">
        <f t="shared" si="4"/>
        <v>2.384633868225413E-2</v>
      </c>
      <c r="I38" s="11">
        <f>'Production Guide'!I14-'Production Guide'!J14</f>
        <v>2</v>
      </c>
    </row>
    <row r="39" spans="1:32">
      <c r="A39" s="360" t="s">
        <v>83</v>
      </c>
      <c r="B39" s="285"/>
      <c r="C39" s="264">
        <v>50</v>
      </c>
      <c r="D39" s="67"/>
      <c r="F39" s="15" t="s">
        <v>26</v>
      </c>
      <c r="G39" s="3">
        <f t="shared" si="3"/>
        <v>50</v>
      </c>
      <c r="H39" s="9">
        <f t="shared" si="4"/>
        <v>3.5068145120961958E-2</v>
      </c>
      <c r="I39" s="11">
        <f>'Production Guide'!I15-'Production Guide'!J15</f>
        <v>3</v>
      </c>
    </row>
    <row r="40" spans="1:32">
      <c r="A40" s="361" t="s">
        <v>27</v>
      </c>
      <c r="B40" s="284"/>
      <c r="C40" s="264">
        <v>0</v>
      </c>
      <c r="D40" s="67"/>
      <c r="F40" s="15" t="s">
        <v>28</v>
      </c>
      <c r="G40" s="3">
        <f t="shared" si="3"/>
        <v>0</v>
      </c>
      <c r="H40" s="9">
        <f t="shared" si="4"/>
        <v>0</v>
      </c>
      <c r="I40" s="11">
        <f>'Production Guide'!I16-'Production Guide'!J16</f>
        <v>0</v>
      </c>
    </row>
    <row r="41" spans="1:32">
      <c r="A41" s="360" t="s">
        <v>29</v>
      </c>
      <c r="B41" s="285"/>
      <c r="C41" s="264">
        <v>83</v>
      </c>
      <c r="D41" s="67"/>
      <c r="F41" s="15" t="s">
        <v>30</v>
      </c>
      <c r="G41" s="3">
        <f t="shared" si="3"/>
        <v>83</v>
      </c>
      <c r="H41" s="9">
        <f t="shared" si="4"/>
        <v>5.8213120900796847E-2</v>
      </c>
      <c r="I41" s="11">
        <f>'Production Guide'!I17-'Production Guide'!J17</f>
        <v>4</v>
      </c>
    </row>
    <row r="42" spans="1:32">
      <c r="A42" s="360" t="s">
        <v>31</v>
      </c>
      <c r="B42" s="285"/>
      <c r="C42" s="264">
        <v>100</v>
      </c>
      <c r="D42" s="67"/>
      <c r="F42" s="15" t="s">
        <v>32</v>
      </c>
      <c r="G42" s="3">
        <f t="shared" si="3"/>
        <v>100</v>
      </c>
      <c r="H42" s="9">
        <f t="shared" si="4"/>
        <v>7.0136290241923915E-2</v>
      </c>
      <c r="I42" s="11">
        <f>'Production Guide'!I18-'Production Guide'!J18</f>
        <v>5</v>
      </c>
    </row>
    <row r="43" spans="1:32">
      <c r="A43" s="360" t="s">
        <v>33</v>
      </c>
      <c r="B43" s="285"/>
      <c r="C43" s="265">
        <v>36</v>
      </c>
      <c r="D43" s="67"/>
      <c r="F43" s="15" t="s">
        <v>33</v>
      </c>
      <c r="G43" s="3">
        <f t="shared" si="3"/>
        <v>36</v>
      </c>
      <c r="H43" s="9">
        <f t="shared" si="4"/>
        <v>2.5249064487092607E-2</v>
      </c>
      <c r="I43" s="11">
        <f>'Production Guide'!I19-'Production Guide'!J19</f>
        <v>2</v>
      </c>
    </row>
    <row r="44" spans="1:32">
      <c r="A44" s="360" t="s">
        <v>34</v>
      </c>
      <c r="B44" s="283"/>
      <c r="C44" s="264">
        <v>42</v>
      </c>
      <c r="D44" s="67"/>
      <c r="F44" s="15" t="s">
        <v>126</v>
      </c>
      <c r="G44" s="3">
        <f t="shared" si="3"/>
        <v>42</v>
      </c>
      <c r="H44" s="9">
        <f t="shared" si="4"/>
        <v>2.9457241901608044E-2</v>
      </c>
      <c r="I44" s="11">
        <f>'Production Guide'!I20-'Production Guide'!J20</f>
        <v>2</v>
      </c>
    </row>
    <row r="45" spans="1:32">
      <c r="A45" s="360" t="s">
        <v>36</v>
      </c>
      <c r="B45" s="285"/>
      <c r="C45" s="263">
        <v>48</v>
      </c>
      <c r="D45" s="67"/>
      <c r="F45" s="15" t="s">
        <v>37</v>
      </c>
      <c r="G45" s="3">
        <f t="shared" si="3"/>
        <v>48</v>
      </c>
      <c r="H45" s="9">
        <f t="shared" si="4"/>
        <v>3.3665419316123477E-2</v>
      </c>
      <c r="I45" s="11">
        <f>'Production Guide'!I21-'Production Guide'!J21</f>
        <v>3</v>
      </c>
    </row>
    <row r="46" spans="1:32" ht="15.75" thickBot="1">
      <c r="A46" s="386" t="s">
        <v>85</v>
      </c>
      <c r="B46" s="386"/>
      <c r="C46" s="264">
        <v>13</v>
      </c>
      <c r="D46" s="67"/>
      <c r="F46" s="30" t="s">
        <v>127</v>
      </c>
      <c r="G46" s="10">
        <f t="shared" si="3"/>
        <v>13</v>
      </c>
      <c r="H46" s="213">
        <f t="shared" si="4"/>
        <v>9.117717731450108E-3</v>
      </c>
      <c r="I46" s="163">
        <f>'Production Guide'!I22-'Production Guide'!J22</f>
        <v>1</v>
      </c>
    </row>
    <row r="47" spans="1:32" ht="15.75" thickBot="1">
      <c r="A47" s="222"/>
      <c r="B47" s="16"/>
      <c r="Q47" s="92"/>
    </row>
    <row r="48" spans="1:32" ht="15.75" customHeight="1">
      <c r="A48" s="354" t="s">
        <v>129</v>
      </c>
      <c r="B48" s="355"/>
      <c r="C48" s="367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spans="1:32" ht="14.45" customHeight="1" thickBot="1">
      <c r="A49" s="356"/>
      <c r="B49" s="357"/>
      <c r="C49" s="36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spans="1:32" ht="15.75" thickBot="1">
      <c r="A50" s="364" t="s">
        <v>130</v>
      </c>
      <c r="B50" s="365"/>
      <c r="C50" s="217"/>
      <c r="D50" s="67"/>
      <c r="E50" s="29"/>
      <c r="F50" s="223" t="s">
        <v>4</v>
      </c>
      <c r="G50" s="214" t="s">
        <v>131</v>
      </c>
      <c r="H50" s="214" t="s">
        <v>120</v>
      </c>
      <c r="I50" s="214" t="s">
        <v>121</v>
      </c>
      <c r="J50" s="214" t="s">
        <v>122</v>
      </c>
    </row>
    <row r="51" spans="1:32">
      <c r="A51" s="362" t="s">
        <v>7</v>
      </c>
      <c r="B51" s="363"/>
      <c r="C51" s="221">
        <v>288</v>
      </c>
      <c r="D51" s="67"/>
      <c r="E51" s="29"/>
      <c r="F51" s="238" t="s">
        <v>8</v>
      </c>
      <c r="G51" s="224">
        <f>C51</f>
        <v>288</v>
      </c>
      <c r="H51" s="225">
        <f>G51/4</f>
        <v>72</v>
      </c>
      <c r="I51" s="226">
        <f>H51/($C$3/100)</f>
        <v>5.0498128974185215E-2</v>
      </c>
      <c r="J51" s="215">
        <f>'Production Guide'!P6-'Production Guide'!Q6</f>
        <v>4</v>
      </c>
    </row>
    <row r="52" spans="1:32">
      <c r="A52" s="14" t="s">
        <v>9</v>
      </c>
      <c r="B52" s="15"/>
      <c r="C52" s="221">
        <v>546</v>
      </c>
      <c r="E52" s="29"/>
      <c r="F52" s="177" t="s">
        <v>125</v>
      </c>
      <c r="G52" s="3">
        <f t="shared" ref="G52:G67" si="5">C52</f>
        <v>546</v>
      </c>
      <c r="H52" s="7">
        <f>G52/4</f>
        <v>136.5</v>
      </c>
      <c r="I52" s="6">
        <f t="shared" ref="I52:I67" si="6">H52/($C$3/100)</f>
        <v>9.5736036180226136E-2</v>
      </c>
      <c r="J52" s="182">
        <f>'Production Guide'!P7-'Production Guide'!Q7</f>
        <v>9</v>
      </c>
    </row>
    <row r="53" spans="1:32">
      <c r="A53" s="245" t="s">
        <v>11</v>
      </c>
      <c r="B53" s="237"/>
      <c r="C53" s="209">
        <v>1831</v>
      </c>
      <c r="E53" s="29"/>
      <c r="F53" s="15" t="s">
        <v>12</v>
      </c>
      <c r="G53" s="3">
        <f t="shared" si="5"/>
        <v>1831</v>
      </c>
      <c r="H53" s="7">
        <f t="shared" ref="H53:H67" si="7">G53/4</f>
        <v>457.75</v>
      </c>
      <c r="I53" s="6">
        <f t="shared" si="6"/>
        <v>0.32104886858240672</v>
      </c>
      <c r="J53" s="11">
        <f>'Production Guide'!P8-'Production Guide'!Q8</f>
        <v>20</v>
      </c>
    </row>
    <row r="54" spans="1:32">
      <c r="A54" s="245" t="s">
        <v>13</v>
      </c>
      <c r="B54" s="237"/>
      <c r="C54" s="209">
        <v>700</v>
      </c>
      <c r="E54" s="29"/>
      <c r="F54" s="15" t="s">
        <v>14</v>
      </c>
      <c r="G54" s="3">
        <f t="shared" si="5"/>
        <v>700</v>
      </c>
      <c r="H54" s="7">
        <f t="shared" si="7"/>
        <v>175</v>
      </c>
      <c r="I54" s="6">
        <f t="shared" si="6"/>
        <v>0.12273850792336685</v>
      </c>
      <c r="J54" s="11">
        <f>'Production Guide'!P9-'Production Guide'!Q9</f>
        <v>8</v>
      </c>
    </row>
    <row r="55" spans="1:32">
      <c r="A55" s="246" t="s">
        <v>15</v>
      </c>
      <c r="B55" s="238"/>
      <c r="C55" s="209">
        <v>418</v>
      </c>
      <c r="E55" s="29"/>
      <c r="F55" s="15" t="s">
        <v>16</v>
      </c>
      <c r="G55" s="3">
        <f t="shared" si="5"/>
        <v>418</v>
      </c>
      <c r="H55" s="7">
        <f t="shared" si="7"/>
        <v>104.5</v>
      </c>
      <c r="I55" s="6">
        <f t="shared" si="6"/>
        <v>7.3292423302810494E-2</v>
      </c>
      <c r="J55" s="11">
        <f>'Production Guide'!P10-'Production Guide'!Q10</f>
        <v>5</v>
      </c>
    </row>
    <row r="56" spans="1:32">
      <c r="A56" s="245" t="s">
        <v>17</v>
      </c>
      <c r="B56" s="237"/>
      <c r="C56" s="209">
        <v>2032</v>
      </c>
      <c r="E56" s="29"/>
      <c r="F56" s="15" t="s">
        <v>18</v>
      </c>
      <c r="G56" s="3">
        <f t="shared" si="5"/>
        <v>2032</v>
      </c>
      <c r="H56" s="7">
        <f t="shared" si="7"/>
        <v>508</v>
      </c>
      <c r="I56" s="6">
        <f t="shared" si="6"/>
        <v>0.3562923544289735</v>
      </c>
      <c r="J56" s="11">
        <f>'Production Guide'!P11-'Production Guide'!Q11</f>
        <v>22</v>
      </c>
    </row>
    <row r="57" spans="1:32">
      <c r="A57" s="246" t="s">
        <v>19</v>
      </c>
      <c r="B57" s="238"/>
      <c r="C57" s="209">
        <v>764</v>
      </c>
      <c r="E57" s="29"/>
      <c r="F57" s="15" t="s">
        <v>20</v>
      </c>
      <c r="G57" s="3">
        <f t="shared" si="5"/>
        <v>764</v>
      </c>
      <c r="H57" s="7">
        <f t="shared" si="7"/>
        <v>191</v>
      </c>
      <c r="I57" s="6">
        <f t="shared" si="6"/>
        <v>0.13396031436207467</v>
      </c>
      <c r="J57" s="11">
        <f>'Production Guide'!P12-'Production Guide'!Q12</f>
        <v>9</v>
      </c>
    </row>
    <row r="58" spans="1:32">
      <c r="A58" s="245" t="s">
        <v>21</v>
      </c>
      <c r="B58" s="237"/>
      <c r="C58" s="209">
        <v>561</v>
      </c>
      <c r="E58" s="29"/>
      <c r="F58" s="15" t="s">
        <v>22</v>
      </c>
      <c r="G58" s="3">
        <f t="shared" si="5"/>
        <v>561</v>
      </c>
      <c r="H58" s="7">
        <f t="shared" si="7"/>
        <v>140.25</v>
      </c>
      <c r="I58" s="6">
        <f t="shared" si="6"/>
        <v>9.836614706429829E-2</v>
      </c>
      <c r="J58" s="11">
        <f>'Production Guide'!P13-'Production Guide'!Q13</f>
        <v>9</v>
      </c>
    </row>
    <row r="59" spans="1:32">
      <c r="A59" s="245" t="s">
        <v>23</v>
      </c>
      <c r="B59" s="237"/>
      <c r="C59" s="209">
        <v>505</v>
      </c>
      <c r="D59" s="67"/>
      <c r="E59" s="29"/>
      <c r="F59" s="15" t="s">
        <v>24</v>
      </c>
      <c r="G59" s="3">
        <f t="shared" si="5"/>
        <v>505</v>
      </c>
      <c r="H59" s="7">
        <f t="shared" si="7"/>
        <v>126.25</v>
      </c>
      <c r="I59" s="6">
        <f t="shared" si="6"/>
        <v>8.8547066430428936E-2</v>
      </c>
      <c r="J59" s="11">
        <f>'Production Guide'!P14-'Production Guide'!Q14</f>
        <v>6</v>
      </c>
    </row>
    <row r="60" spans="1:32">
      <c r="A60" s="245" t="s">
        <v>83</v>
      </c>
      <c r="B60" s="237"/>
      <c r="C60" s="209">
        <v>384</v>
      </c>
      <c r="D60" s="67"/>
      <c r="E60" s="29"/>
      <c r="F60" s="15" t="s">
        <v>26</v>
      </c>
      <c r="G60" s="3">
        <f t="shared" si="5"/>
        <v>384</v>
      </c>
      <c r="H60" s="7">
        <f t="shared" si="7"/>
        <v>96</v>
      </c>
      <c r="I60" s="6">
        <f t="shared" si="6"/>
        <v>6.7330838632246953E-2</v>
      </c>
      <c r="J60" s="11">
        <f>'Production Guide'!P15-'Production Guide'!Q15</f>
        <v>5</v>
      </c>
    </row>
    <row r="61" spans="1:32">
      <c r="A61" s="361" t="s">
        <v>27</v>
      </c>
      <c r="B61" s="284"/>
      <c r="C61" s="209">
        <v>0</v>
      </c>
      <c r="D61" s="67"/>
      <c r="E61" s="29"/>
      <c r="F61" s="15" t="s">
        <v>28</v>
      </c>
      <c r="G61" s="3">
        <f t="shared" si="5"/>
        <v>0</v>
      </c>
      <c r="H61" s="7">
        <f t="shared" si="7"/>
        <v>0</v>
      </c>
      <c r="I61" s="6">
        <f t="shared" si="6"/>
        <v>0</v>
      </c>
      <c r="J61" s="11">
        <f>'Production Guide'!P16-'Production Guide'!Q16</f>
        <v>0</v>
      </c>
    </row>
    <row r="62" spans="1:32">
      <c r="A62" s="245" t="s">
        <v>29</v>
      </c>
      <c r="B62" s="237"/>
      <c r="C62" s="209">
        <v>767</v>
      </c>
      <c r="D62" s="67"/>
      <c r="E62" s="29"/>
      <c r="F62" s="15" t="s">
        <v>30</v>
      </c>
      <c r="G62" s="3">
        <f t="shared" si="5"/>
        <v>767</v>
      </c>
      <c r="H62" s="7">
        <f t="shared" si="7"/>
        <v>191.75</v>
      </c>
      <c r="I62" s="6">
        <f t="shared" si="6"/>
        <v>0.13448633653888911</v>
      </c>
      <c r="J62" s="11">
        <f>'Production Guide'!P17-'Production Guide'!Q17</f>
        <v>9</v>
      </c>
    </row>
    <row r="63" spans="1:32">
      <c r="A63" s="361" t="s">
        <v>31</v>
      </c>
      <c r="B63" s="284"/>
      <c r="C63" s="209">
        <v>892</v>
      </c>
      <c r="D63" s="67"/>
      <c r="E63" s="29"/>
      <c r="F63" s="15" t="s">
        <v>32</v>
      </c>
      <c r="G63" s="3">
        <f t="shared" si="5"/>
        <v>892</v>
      </c>
      <c r="H63" s="7">
        <f t="shared" si="7"/>
        <v>223</v>
      </c>
      <c r="I63" s="6">
        <f t="shared" si="6"/>
        <v>0.15640392723949031</v>
      </c>
      <c r="J63" s="11">
        <f>'Production Guide'!P18-'Production Guide'!Q18</f>
        <v>13</v>
      </c>
    </row>
    <row r="64" spans="1:32">
      <c r="A64" s="361" t="s">
        <v>33</v>
      </c>
      <c r="B64" s="284"/>
      <c r="C64" s="209">
        <v>318</v>
      </c>
      <c r="D64" s="67"/>
      <c r="E64" s="29"/>
      <c r="F64" s="15" t="s">
        <v>33</v>
      </c>
      <c r="G64" s="3">
        <f t="shared" si="5"/>
        <v>318</v>
      </c>
      <c r="H64" s="7">
        <f t="shared" si="7"/>
        <v>79.5</v>
      </c>
      <c r="I64" s="6">
        <f t="shared" si="6"/>
        <v>5.5758350742329509E-2</v>
      </c>
      <c r="J64" s="11">
        <f>'Production Guide'!P19-'Production Guide'!Q19</f>
        <v>4</v>
      </c>
    </row>
    <row r="65" spans="1:12">
      <c r="A65" s="361" t="s">
        <v>34</v>
      </c>
      <c r="B65" s="284"/>
      <c r="C65" s="209">
        <v>300</v>
      </c>
      <c r="D65" s="67"/>
      <c r="E65" s="29"/>
      <c r="F65" s="15" t="s">
        <v>126</v>
      </c>
      <c r="G65" s="3">
        <f t="shared" si="5"/>
        <v>300</v>
      </c>
      <c r="H65" s="7">
        <f t="shared" si="7"/>
        <v>75</v>
      </c>
      <c r="I65" s="6">
        <f t="shared" si="6"/>
        <v>5.2602217681442937E-2</v>
      </c>
      <c r="J65" s="11">
        <f>'Production Guide'!P20-'Production Guide'!Q20</f>
        <v>4</v>
      </c>
    </row>
    <row r="66" spans="1:12">
      <c r="A66" s="245" t="s">
        <v>36</v>
      </c>
      <c r="B66" s="237"/>
      <c r="C66" s="209">
        <v>259</v>
      </c>
      <c r="D66" s="67"/>
      <c r="E66" s="29"/>
      <c r="F66" s="15" t="s">
        <v>37</v>
      </c>
      <c r="G66" s="3">
        <f t="shared" si="5"/>
        <v>259</v>
      </c>
      <c r="H66" s="7">
        <f t="shared" si="7"/>
        <v>64.75</v>
      </c>
      <c r="I66" s="6">
        <f t="shared" si="6"/>
        <v>4.5413247931645737E-2</v>
      </c>
      <c r="J66" s="11">
        <f>'Production Guide'!P21-'Production Guide'!Q21</f>
        <v>3</v>
      </c>
    </row>
    <row r="67" spans="1:12" ht="15.75" thickBot="1">
      <c r="A67" s="243" t="s">
        <v>85</v>
      </c>
      <c r="B67" s="244"/>
      <c r="C67" s="205">
        <v>124</v>
      </c>
      <c r="E67" s="29"/>
      <c r="F67" s="30" t="s">
        <v>127</v>
      </c>
      <c r="G67" s="130">
        <f t="shared" si="5"/>
        <v>124</v>
      </c>
      <c r="H67" s="12">
        <f t="shared" si="7"/>
        <v>31</v>
      </c>
      <c r="I67" s="213">
        <f t="shared" si="6"/>
        <v>2.1742249974996412E-2</v>
      </c>
      <c r="J67" s="163">
        <f>'Production Guide'!P22-'Production Guide'!Q22</f>
        <v>2</v>
      </c>
    </row>
    <row r="68" spans="1:12" ht="15.75" thickBot="1">
      <c r="G68" s="73"/>
    </row>
    <row r="69" spans="1:12" s="8" customFormat="1" ht="14.45" customHeight="1">
      <c r="A69" s="354" t="s">
        <v>132</v>
      </c>
      <c r="B69" s="355"/>
      <c r="C69" s="355"/>
      <c r="D69" s="183"/>
    </row>
    <row r="70" spans="1:12" s="8" customFormat="1" ht="15" customHeight="1" thickBot="1">
      <c r="A70" s="356"/>
      <c r="B70" s="357"/>
      <c r="C70" s="357"/>
      <c r="D70" s="183"/>
      <c r="F70" s="199"/>
      <c r="H70" s="199"/>
      <c r="I70" s="199"/>
      <c r="J70" s="199"/>
      <c r="K70" s="199"/>
    </row>
    <row r="71" spans="1:12" ht="15.75" thickBot="1">
      <c r="A71" s="388" t="s">
        <v>133</v>
      </c>
      <c r="B71" s="364"/>
      <c r="C71" s="207"/>
      <c r="D71" s="168"/>
      <c r="E71" s="168"/>
      <c r="F71" s="171" t="s">
        <v>134</v>
      </c>
      <c r="G71" s="200"/>
      <c r="H71" s="387" t="s">
        <v>135</v>
      </c>
      <c r="I71" s="387"/>
      <c r="J71" s="178" t="s">
        <v>136</v>
      </c>
      <c r="K71" s="176" t="s">
        <v>137</v>
      </c>
      <c r="L71" s="168"/>
    </row>
    <row r="72" spans="1:12" ht="15.75" thickBot="1">
      <c r="A72" s="366" t="s">
        <v>40</v>
      </c>
      <c r="B72" s="307"/>
      <c r="C72" s="208">
        <v>2290</v>
      </c>
      <c r="D72" s="168"/>
      <c r="E72" s="168"/>
      <c r="F72" s="172">
        <f>C72/5</f>
        <v>458</v>
      </c>
      <c r="G72" s="168"/>
      <c r="H72" s="174" t="s">
        <v>138</v>
      </c>
      <c r="I72" s="175">
        <f>F78+F72</f>
        <v>569</v>
      </c>
      <c r="J72" s="172">
        <f>I72/($C$3/100)</f>
        <v>0.39907549147654708</v>
      </c>
      <c r="K72" s="210">
        <v>5.63</v>
      </c>
      <c r="L72" s="168"/>
    </row>
    <row r="73" spans="1:12" ht="15.75" thickBot="1">
      <c r="A73" s="360" t="s">
        <v>42</v>
      </c>
      <c r="B73" s="285"/>
      <c r="C73" s="209">
        <v>1051</v>
      </c>
      <c r="D73" s="168"/>
      <c r="E73" s="168"/>
      <c r="F73" s="172">
        <f>C73/3</f>
        <v>350.33333333333331</v>
      </c>
      <c r="G73" s="168"/>
      <c r="H73" s="173" t="s">
        <v>20</v>
      </c>
      <c r="I73" s="172">
        <f>F79+F73</f>
        <v>357.33333333333331</v>
      </c>
      <c r="J73" s="172">
        <f t="shared" ref="J73:J75" si="8">I73/($C$3/100)</f>
        <v>0.25062034379780812</v>
      </c>
      <c r="K73" s="211">
        <v>8.7850000000000001</v>
      </c>
      <c r="L73" s="168"/>
    </row>
    <row r="74" spans="1:12" ht="15.75" thickBot="1">
      <c r="A74" s="360" t="s">
        <v>44</v>
      </c>
      <c r="B74" s="285"/>
      <c r="C74" s="209">
        <v>1868</v>
      </c>
      <c r="D74" s="168"/>
      <c r="E74" s="168"/>
      <c r="F74" s="172">
        <f>C74/2.5</f>
        <v>747.2</v>
      </c>
      <c r="G74" s="168"/>
      <c r="H74" s="173" t="s">
        <v>139</v>
      </c>
      <c r="I74" s="172">
        <f>F80+F74</f>
        <v>814.2</v>
      </c>
      <c r="J74" s="172">
        <f t="shared" si="8"/>
        <v>0.57104967514974458</v>
      </c>
      <c r="K74" s="211">
        <v>8.25</v>
      </c>
      <c r="L74" s="168"/>
    </row>
    <row r="75" spans="1:12" ht="15.75" thickBot="1">
      <c r="A75" s="385" t="s">
        <v>46</v>
      </c>
      <c r="B75" s="386"/>
      <c r="C75" s="205">
        <v>1109</v>
      </c>
      <c r="D75" s="168"/>
      <c r="E75" s="168"/>
      <c r="F75" s="172">
        <f>C75/3</f>
        <v>369.66666666666669</v>
      </c>
      <c r="G75" s="168"/>
      <c r="H75" s="173" t="s">
        <v>140</v>
      </c>
      <c r="I75" s="172">
        <f>F81+F75</f>
        <v>434.66666666666669</v>
      </c>
      <c r="J75" s="172">
        <f t="shared" si="8"/>
        <v>0.30485907491822928</v>
      </c>
      <c r="K75" s="212">
        <v>6.79</v>
      </c>
      <c r="L75" s="168"/>
    </row>
    <row r="76" spans="1:12" ht="15.75" thickBot="1">
      <c r="A76" s="16"/>
      <c r="B76" s="16"/>
      <c r="D76" s="168"/>
      <c r="E76" s="168"/>
      <c r="F76" s="168"/>
      <c r="G76" s="168"/>
      <c r="H76" s="168"/>
      <c r="I76" s="169"/>
      <c r="J76" s="170"/>
      <c r="K76" s="170"/>
      <c r="L76" s="168"/>
    </row>
    <row r="77" spans="1:12" ht="15.75" thickBot="1">
      <c r="A77" s="388" t="s">
        <v>141</v>
      </c>
      <c r="B77" s="364"/>
      <c r="C77" s="207"/>
      <c r="D77" s="168"/>
      <c r="E77" s="168"/>
      <c r="F77" s="171" t="s">
        <v>134</v>
      </c>
      <c r="G77" s="167"/>
      <c r="L77" s="168"/>
    </row>
    <row r="78" spans="1:12" ht="15.75" thickBot="1">
      <c r="A78" s="366" t="s">
        <v>40</v>
      </c>
      <c r="B78" s="307"/>
      <c r="C78" s="208">
        <v>111</v>
      </c>
      <c r="D78" s="168"/>
      <c r="E78" s="168"/>
      <c r="F78" s="172">
        <f>C78</f>
        <v>111</v>
      </c>
      <c r="G78" s="168"/>
      <c r="L78" s="168"/>
    </row>
    <row r="79" spans="1:12" ht="15.75" thickBot="1">
      <c r="A79" s="360" t="s">
        <v>42</v>
      </c>
      <c r="B79" s="285"/>
      <c r="C79" s="209">
        <v>7</v>
      </c>
      <c r="D79" s="168"/>
      <c r="E79" s="168"/>
      <c r="F79" s="172">
        <f>C79</f>
        <v>7</v>
      </c>
      <c r="G79" s="185"/>
    </row>
    <row r="80" spans="1:12" ht="15.75" thickBot="1">
      <c r="A80" s="360" t="s">
        <v>44</v>
      </c>
      <c r="B80" s="285"/>
      <c r="C80" s="209">
        <v>67</v>
      </c>
      <c r="D80" s="168"/>
      <c r="E80" s="168"/>
      <c r="F80" s="184">
        <f>C80</f>
        <v>67</v>
      </c>
      <c r="G80" s="185"/>
    </row>
    <row r="81" spans="1:21" ht="15.75" thickBot="1">
      <c r="A81" s="385" t="s">
        <v>46</v>
      </c>
      <c r="B81" s="386"/>
      <c r="C81" s="205">
        <v>65</v>
      </c>
      <c r="D81" s="168"/>
      <c r="E81" s="206"/>
      <c r="F81" s="201">
        <f>C81</f>
        <v>65</v>
      </c>
      <c r="G81" s="185"/>
    </row>
    <row r="82" spans="1:21" ht="15.75" thickBot="1">
      <c r="A82" s="16"/>
      <c r="B82" s="16"/>
      <c r="N82" s="168"/>
      <c r="O82" s="168"/>
      <c r="P82" s="168"/>
    </row>
    <row r="83" spans="1:21" ht="15.75" thickBot="1">
      <c r="A83" s="354" t="s">
        <v>142</v>
      </c>
      <c r="B83" s="355"/>
      <c r="C83" s="367"/>
      <c r="F83" s="252"/>
      <c r="T83" s="168"/>
    </row>
    <row r="84" spans="1:21" ht="15.75" thickBot="1">
      <c r="A84" s="356"/>
      <c r="B84" s="357"/>
      <c r="C84" s="368"/>
      <c r="E84" s="29"/>
      <c r="F84" s="253" t="s">
        <v>136</v>
      </c>
      <c r="G84" s="253" t="s">
        <v>57</v>
      </c>
    </row>
    <row r="85" spans="1:21" ht="15.75" thickBot="1">
      <c r="A85" s="366" t="s">
        <v>143</v>
      </c>
      <c r="B85" s="307"/>
      <c r="C85" s="204">
        <v>259</v>
      </c>
      <c r="E85" s="29"/>
      <c r="F85" s="254">
        <f>C85/($C$3/100)</f>
        <v>0.18165299172658295</v>
      </c>
      <c r="G85" s="256">
        <f>ROUNDUP(('Production Guide'!$E$2/100)*F85,0)</f>
        <v>9</v>
      </c>
    </row>
    <row r="86" spans="1:21" ht="15.75" thickBot="1">
      <c r="A86" s="385" t="s">
        <v>144</v>
      </c>
      <c r="B86" s="386"/>
      <c r="C86" s="205">
        <v>277</v>
      </c>
      <c r="E86" s="29"/>
      <c r="F86" s="255">
        <f>C86/($C$3/100)</f>
        <v>0.19427752397012923</v>
      </c>
      <c r="G86" s="256">
        <f>ROUNDUP(('Production Guide'!$E$2/100)*F86,0)</f>
        <v>9</v>
      </c>
    </row>
    <row r="87" spans="1:21">
      <c r="F87" s="73"/>
    </row>
    <row r="88" spans="1:21">
      <c r="A88" s="16"/>
      <c r="B88" s="16"/>
      <c r="N88" s="168"/>
      <c r="O88" s="168"/>
      <c r="P88" s="168"/>
    </row>
    <row r="89" spans="1:21">
      <c r="Q89" s="169"/>
      <c r="R89" s="170"/>
      <c r="S89" s="170"/>
      <c r="T89" s="168"/>
      <c r="U89" s="168"/>
    </row>
    <row r="94" spans="1:21">
      <c r="A94" s="16"/>
      <c r="B94" s="16"/>
      <c r="O94" s="166"/>
      <c r="P94" s="166"/>
    </row>
    <row r="95" spans="1:21" hidden="1">
      <c r="O95" s="166"/>
      <c r="P95" s="166"/>
      <c r="Q95" s="166"/>
      <c r="R95" s="166"/>
      <c r="S95" s="165"/>
      <c r="T95" s="164"/>
      <c r="U95" s="164"/>
    </row>
    <row r="96" spans="1:21" hidden="1">
      <c r="A96" s="17" t="s">
        <v>145</v>
      </c>
      <c r="O96" s="166"/>
      <c r="P96" s="166"/>
      <c r="Q96" s="166"/>
      <c r="R96" s="166"/>
      <c r="S96" s="166"/>
    </row>
    <row r="97" spans="1:19" hidden="1">
      <c r="A97" t="s">
        <v>146</v>
      </c>
      <c r="O97" s="166"/>
      <c r="P97" s="166"/>
      <c r="Q97" s="166"/>
      <c r="R97" s="166"/>
      <c r="S97" s="166"/>
    </row>
    <row r="98" spans="1:19" hidden="1">
      <c r="A98" t="s">
        <v>147</v>
      </c>
      <c r="Q98" s="166"/>
      <c r="R98" s="166"/>
      <c r="S98" s="166"/>
    </row>
    <row r="99" spans="1:19" hidden="1">
      <c r="A99" t="s">
        <v>148</v>
      </c>
    </row>
    <row r="100" spans="1:19" hidden="1">
      <c r="A100" t="s">
        <v>149</v>
      </c>
    </row>
    <row r="101" spans="1:19" hidden="1"/>
    <row r="102" spans="1:19" hidden="1"/>
  </sheetData>
  <sheetProtection algorithmName="SHA-512" hashValue="AqehzCPyknlwlkzij0Rfo5j+ltYKrdL3Txk1vzuspWSc55CMDS6WdcoK5ND/NXmHpt3LEUTg5UX69SUsXTa+tw==" saltValue="FiFIfqqg0UEcrSc85ePqdQ==" spinCount="100000" sheet="1" objects="1" scenarios="1"/>
  <mergeCells count="64">
    <mergeCell ref="G2:H2"/>
    <mergeCell ref="G3:H3"/>
    <mergeCell ref="G4:H4"/>
    <mergeCell ref="A83:C84"/>
    <mergeCell ref="A85:B85"/>
    <mergeCell ref="A63:B63"/>
    <mergeCell ref="A65:B65"/>
    <mergeCell ref="A61:B61"/>
    <mergeCell ref="A14:B14"/>
    <mergeCell ref="A15:B15"/>
    <mergeCell ref="A16:B16"/>
    <mergeCell ref="A17:B17"/>
    <mergeCell ref="A18:B18"/>
    <mergeCell ref="A32:B32"/>
    <mergeCell ref="A40:B40"/>
    <mergeCell ref="A46:B46"/>
    <mergeCell ref="A86:B86"/>
    <mergeCell ref="H71:I71"/>
    <mergeCell ref="A71:B71"/>
    <mergeCell ref="A72:B72"/>
    <mergeCell ref="A73:B73"/>
    <mergeCell ref="A81:B81"/>
    <mergeCell ref="A79:B79"/>
    <mergeCell ref="A80:B80"/>
    <mergeCell ref="A77:B77"/>
    <mergeCell ref="A78:B78"/>
    <mergeCell ref="A74:B74"/>
    <mergeCell ref="A75:B75"/>
    <mergeCell ref="C2:D2"/>
    <mergeCell ref="C3:D4"/>
    <mergeCell ref="A8:C9"/>
    <mergeCell ref="A37:B37"/>
    <mergeCell ref="A38:B38"/>
    <mergeCell ref="A30:B30"/>
    <mergeCell ref="A10:B10"/>
    <mergeCell ref="A12:B12"/>
    <mergeCell ref="A11:B11"/>
    <mergeCell ref="A26:B26"/>
    <mergeCell ref="A25:B25"/>
    <mergeCell ref="A21:B21"/>
    <mergeCell ref="A34:B34"/>
    <mergeCell ref="A22:B22"/>
    <mergeCell ref="A27:B27"/>
    <mergeCell ref="A48:C49"/>
    <mergeCell ref="A35:B35"/>
    <mergeCell ref="A36:B36"/>
    <mergeCell ref="A42:B42"/>
    <mergeCell ref="A43:B43"/>
    <mergeCell ref="A69:C70"/>
    <mergeCell ref="A29:B29"/>
    <mergeCell ref="A13:B13"/>
    <mergeCell ref="A19:B19"/>
    <mergeCell ref="A20:B20"/>
    <mergeCell ref="A39:B39"/>
    <mergeCell ref="A41:B41"/>
    <mergeCell ref="A64:B64"/>
    <mergeCell ref="A51:B51"/>
    <mergeCell ref="A50:B50"/>
    <mergeCell ref="A23:B23"/>
    <mergeCell ref="A24:B24"/>
    <mergeCell ref="A45:B45"/>
    <mergeCell ref="A44:B44"/>
    <mergeCell ref="A31:B31"/>
    <mergeCell ref="A33:B3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44"/>
  <sheetViews>
    <sheetView zoomScale="53" workbookViewId="0">
      <selection activeCell="I26" sqref="I26:K26"/>
    </sheetView>
  </sheetViews>
  <sheetFormatPr defaultColWidth="8.85546875" defaultRowHeight="15"/>
  <cols>
    <col min="24" max="24" width="12.42578125" customWidth="1"/>
    <col min="27" max="27" width="8.42578125" customWidth="1"/>
    <col min="28" max="28" width="10" bestFit="1" customWidth="1"/>
    <col min="31" max="31" width="11.42578125" bestFit="1" customWidth="1"/>
  </cols>
  <sheetData>
    <row r="1" spans="1:32" ht="15.75" customHeight="1" thickBot="1">
      <c r="G1" s="20"/>
      <c r="H1" s="20"/>
      <c r="I1" s="20"/>
      <c r="J1" s="20"/>
      <c r="Q1" s="324" t="s">
        <v>52</v>
      </c>
      <c r="R1" s="324"/>
      <c r="S1" s="324"/>
      <c r="T1" s="324"/>
      <c r="U1" s="324"/>
      <c r="V1" s="324"/>
      <c r="W1" s="324"/>
      <c r="X1" s="327"/>
      <c r="Y1" s="327"/>
    </row>
    <row r="2" spans="1:32" ht="15.75" customHeight="1" thickBot="1">
      <c r="G2" s="20"/>
      <c r="H2" s="20"/>
      <c r="I2" s="20"/>
      <c r="J2" s="20"/>
      <c r="K2" s="21"/>
      <c r="Q2" s="325"/>
      <c r="R2" s="325"/>
      <c r="S2" s="325"/>
      <c r="T2" s="325"/>
      <c r="U2" s="325"/>
      <c r="V2" s="325"/>
      <c r="W2" s="325"/>
      <c r="X2" s="22">
        <f>'Production Guide'!R2</f>
        <v>4500</v>
      </c>
      <c r="Y2" s="328"/>
      <c r="Z2" s="327"/>
    </row>
    <row r="3" spans="1:32">
      <c r="G3" s="2"/>
      <c r="H3" s="2"/>
      <c r="I3" s="2"/>
      <c r="X3" s="327"/>
      <c r="Y3" s="327"/>
    </row>
    <row r="4" spans="1:32" ht="25.5" thickBot="1">
      <c r="A4" s="297" t="s">
        <v>53</v>
      </c>
      <c r="B4" s="297"/>
      <c r="C4" s="297"/>
      <c r="D4" s="297"/>
      <c r="E4" s="297"/>
      <c r="G4" s="297" t="s">
        <v>54</v>
      </c>
      <c r="H4" s="297"/>
      <c r="I4" s="297"/>
      <c r="J4" s="297"/>
      <c r="K4" s="297"/>
      <c r="M4" s="329" t="s">
        <v>55</v>
      </c>
      <c r="N4" s="329"/>
      <c r="O4" s="329"/>
      <c r="P4" s="329"/>
      <c r="Q4" s="329"/>
      <c r="R4" s="329"/>
      <c r="T4" s="297" t="s">
        <v>56</v>
      </c>
      <c r="U4" s="326"/>
      <c r="V4" s="326"/>
      <c r="W4" s="326"/>
      <c r="X4" s="326"/>
      <c r="Y4" s="326"/>
    </row>
    <row r="5" spans="1:32">
      <c r="A5" s="278" t="s">
        <v>4</v>
      </c>
      <c r="B5" s="279"/>
      <c r="C5" s="155" t="s">
        <v>57</v>
      </c>
      <c r="D5" s="155" t="s">
        <v>58</v>
      </c>
      <c r="E5" s="19" t="s">
        <v>60</v>
      </c>
      <c r="G5" s="278" t="s">
        <v>4</v>
      </c>
      <c r="H5" s="279"/>
      <c r="I5" s="155" t="s">
        <v>57</v>
      </c>
      <c r="J5" s="155" t="s">
        <v>58</v>
      </c>
      <c r="K5" s="19" t="s">
        <v>60</v>
      </c>
      <c r="M5" s="301" t="s">
        <v>4</v>
      </c>
      <c r="N5" s="302"/>
      <c r="O5" s="155" t="s">
        <v>57</v>
      </c>
      <c r="P5" s="155" t="s">
        <v>58</v>
      </c>
      <c r="Q5" s="279" t="s">
        <v>60</v>
      </c>
      <c r="R5" s="321"/>
      <c r="T5" s="301" t="s">
        <v>4</v>
      </c>
      <c r="U5" s="302"/>
      <c r="V5" s="155" t="s">
        <v>57</v>
      </c>
      <c r="W5" s="155" t="s">
        <v>58</v>
      </c>
      <c r="X5" s="279" t="s">
        <v>60</v>
      </c>
      <c r="Y5" s="321"/>
      <c r="AD5" t="s">
        <v>65</v>
      </c>
      <c r="AE5" s="18">
        <f>(((($X$2*1.35)/100)*('All Data'!J72/2))/'All Data'!K72)</f>
        <v>2.1530937928241771</v>
      </c>
      <c r="AF5" s="18">
        <f>ROUNDUP(AE5,0)</f>
        <v>3</v>
      </c>
    </row>
    <row r="6" spans="1:32">
      <c r="A6" s="285" t="s">
        <v>7</v>
      </c>
      <c r="B6" s="285"/>
      <c r="C6" s="60">
        <f>ROUNDUP(((($X$2*1.35)/100)*'All Data'!I11),0)</f>
        <v>2</v>
      </c>
      <c r="D6" s="239"/>
      <c r="E6" s="60">
        <f>IF('All Data'!I30&lt;0,0,'All Data'!J11)</f>
        <v>2</v>
      </c>
      <c r="G6" s="285" t="s">
        <v>7</v>
      </c>
      <c r="H6" s="285"/>
      <c r="I6" s="237">
        <f>ROUNDUP(((($X$2*1.35)/100)*'All Data'!H30),0)</f>
        <v>2</v>
      </c>
      <c r="J6" s="161"/>
      <c r="K6" s="1">
        <f>IF('All Data'!I30&lt;0,0,'All Data'!I30)</f>
        <v>2</v>
      </c>
      <c r="M6" s="285" t="s">
        <v>7</v>
      </c>
      <c r="N6" s="285"/>
      <c r="O6" s="1">
        <f>ROUNDUP(((($X$2*1.35)/100)*'All Data'!I51),0)+AA12</f>
        <v>4</v>
      </c>
      <c r="P6" s="161"/>
      <c r="Q6" s="298">
        <f>IF('All Data'!J51&lt;0,0,'All Data'!J51)</f>
        <v>4</v>
      </c>
      <c r="R6" s="298"/>
      <c r="T6" s="285" t="s">
        <v>7</v>
      </c>
      <c r="U6" s="285"/>
      <c r="V6" s="7">
        <f>(C6*0.5)+I6+O6</f>
        <v>7</v>
      </c>
      <c r="W6" s="60">
        <f>(D6*0.5)+J6+P6</f>
        <v>0</v>
      </c>
      <c r="X6" s="398">
        <f t="shared" ref="X6" si="0">IF((V6-W6)&lt;0,0,(V6-W6))</f>
        <v>7</v>
      </c>
      <c r="Y6" s="398"/>
      <c r="AD6" t="s">
        <v>150</v>
      </c>
      <c r="AE6" s="18">
        <f>(((($X$2*1.35)/100)*'All Data'!J73)/'All Data'!K73)</f>
        <v>1.7330888885278137</v>
      </c>
      <c r="AF6" s="92">
        <f t="shared" ref="AF6:AF9" si="1">ROUNDUP(AE6,0)</f>
        <v>2</v>
      </c>
    </row>
    <row r="7" spans="1:32">
      <c r="A7" s="285" t="s">
        <v>9</v>
      </c>
      <c r="B7" s="285"/>
      <c r="C7" s="60">
        <f>ROUNDUP(((($X$2*1.35)/100)*'All Data'!I12),0)</f>
        <v>3</v>
      </c>
      <c r="D7" s="239"/>
      <c r="E7" s="60">
        <f>IF('All Data'!I31&lt;0,0,'All Data'!J12)</f>
        <v>3</v>
      </c>
      <c r="G7" s="285" t="s">
        <v>9</v>
      </c>
      <c r="H7" s="285"/>
      <c r="I7" s="237">
        <f>ROUNDUP(((($X$2*1.35)/100)*'All Data'!H31),0)</f>
        <v>3</v>
      </c>
      <c r="J7" s="4"/>
      <c r="K7" s="1">
        <f>IF('All Data'!I31&lt;0,0,'All Data'!I31)</f>
        <v>3</v>
      </c>
      <c r="M7" s="285" t="s">
        <v>9</v>
      </c>
      <c r="N7" s="285"/>
      <c r="O7" s="1">
        <f>ROUNDUP(((($X$2*1.35)/100)*'All Data'!I52),0)+AA13</f>
        <v>9</v>
      </c>
      <c r="P7" s="5"/>
      <c r="Q7" s="298">
        <f>IF('All Data'!J52&lt;0,0,'All Data'!J52)</f>
        <v>9</v>
      </c>
      <c r="R7" s="298"/>
      <c r="T7" s="285" t="s">
        <v>9</v>
      </c>
      <c r="U7" s="285"/>
      <c r="V7" s="7">
        <f t="shared" ref="V7:V22" si="2">(C7*0.5)+I7+O7</f>
        <v>13.5</v>
      </c>
      <c r="W7" s="60">
        <f t="shared" ref="W7:W22" si="3">(D7*0.5)+J7+P7</f>
        <v>0</v>
      </c>
      <c r="X7" s="398">
        <f t="shared" ref="X7:X22" si="4">IF((V7-W7)&lt;0,0,(V7-W7))</f>
        <v>13.5</v>
      </c>
      <c r="Y7" s="398"/>
      <c r="AD7" t="s">
        <v>151</v>
      </c>
      <c r="AE7" s="18">
        <f>(((($X$2*1.35)/100)*('All Data'!J74/1.75))/'All Data'!K74)</f>
        <v>2.402858373357367</v>
      </c>
      <c r="AF7" s="92">
        <f t="shared" si="1"/>
        <v>3</v>
      </c>
    </row>
    <row r="8" spans="1:32">
      <c r="A8" s="285" t="s">
        <v>11</v>
      </c>
      <c r="B8" s="285"/>
      <c r="C8" s="60">
        <f>ROUNDUP(((($X$2*1.35)/100)*'All Data'!I13),0)</f>
        <v>9</v>
      </c>
      <c r="D8" s="239"/>
      <c r="E8" s="60">
        <f>IF('All Data'!I32&lt;0,0,'All Data'!J13)</f>
        <v>9</v>
      </c>
      <c r="G8" s="285" t="s">
        <v>11</v>
      </c>
      <c r="H8" s="285"/>
      <c r="I8" s="242">
        <f>ROUNDUP(((($X$2*1.35)/100)*'All Data'!H32),0)</f>
        <v>13</v>
      </c>
      <c r="J8" s="4"/>
      <c r="K8" s="3">
        <f>IF('All Data'!I32&lt;0,0,'All Data'!I32)</f>
        <v>13</v>
      </c>
      <c r="M8" s="285" t="s">
        <v>11</v>
      </c>
      <c r="N8" s="285"/>
      <c r="O8" s="3">
        <f>ROUNDUP(((($X$2*1.35)/100)*'All Data'!I53),0)</f>
        <v>20</v>
      </c>
      <c r="P8" s="5"/>
      <c r="Q8" s="399">
        <f>IF('All Data'!J53&lt;0,0,'All Data'!J53)</f>
        <v>20</v>
      </c>
      <c r="R8" s="399"/>
      <c r="T8" s="285" t="s">
        <v>11</v>
      </c>
      <c r="U8" s="285"/>
      <c r="V8" s="7">
        <f t="shared" si="2"/>
        <v>37.5</v>
      </c>
      <c r="W8" s="60">
        <f t="shared" si="3"/>
        <v>0</v>
      </c>
      <c r="X8" s="400">
        <f t="shared" si="4"/>
        <v>37.5</v>
      </c>
      <c r="Y8" s="400"/>
      <c r="AD8" t="s">
        <v>46</v>
      </c>
      <c r="AE8" s="18">
        <f>(((($X$2*1.35)/100)*('All Data'!J75/2.5))/'All Data'!K75)</f>
        <v>1.0910273226086851</v>
      </c>
      <c r="AF8" s="92">
        <f t="shared" si="1"/>
        <v>2</v>
      </c>
    </row>
    <row r="9" spans="1:32">
      <c r="A9" s="285" t="s">
        <v>13</v>
      </c>
      <c r="B9" s="285"/>
      <c r="C9" s="60">
        <f>ROUNDUP(((($X$2*1.35)/100)*'All Data'!I14),0)</f>
        <v>5</v>
      </c>
      <c r="D9" s="239"/>
      <c r="E9" s="60">
        <f>IF('All Data'!I33&lt;0,0,'All Data'!J14)</f>
        <v>5</v>
      </c>
      <c r="G9" s="285" t="s">
        <v>13</v>
      </c>
      <c r="H9" s="285"/>
      <c r="I9" s="242">
        <f>ROUNDUP(((($X$2*1.35)/100)*'All Data'!H33),0)</f>
        <v>6</v>
      </c>
      <c r="J9" s="4"/>
      <c r="K9" s="3">
        <f>IF('All Data'!I33&lt;0,0,'All Data'!I33)</f>
        <v>6</v>
      </c>
      <c r="M9" s="285" t="s">
        <v>13</v>
      </c>
      <c r="N9" s="285"/>
      <c r="O9" s="3">
        <f>ROUNDUP(((($X$2*1.35)/100)*'All Data'!I54),0)</f>
        <v>8</v>
      </c>
      <c r="P9" s="5"/>
      <c r="Q9" s="399">
        <f>IF('All Data'!J54&lt;0,0,'All Data'!J54)</f>
        <v>8</v>
      </c>
      <c r="R9" s="399"/>
      <c r="T9" s="285" t="s">
        <v>13</v>
      </c>
      <c r="U9" s="285"/>
      <c r="V9" s="7">
        <f t="shared" si="2"/>
        <v>16.5</v>
      </c>
      <c r="W9" s="60">
        <f t="shared" si="3"/>
        <v>0</v>
      </c>
      <c r="X9" s="400">
        <f t="shared" si="4"/>
        <v>16.5</v>
      </c>
      <c r="Y9" s="400"/>
      <c r="AD9" t="s">
        <v>152</v>
      </c>
      <c r="AE9" s="18">
        <f>AE7*0.5</f>
        <v>1.2014291866786835</v>
      </c>
      <c r="AF9" s="92">
        <f t="shared" si="1"/>
        <v>2</v>
      </c>
    </row>
    <row r="10" spans="1:32">
      <c r="A10" s="285" t="s">
        <v>15</v>
      </c>
      <c r="B10" s="285"/>
      <c r="C10" s="60">
        <f>ROUNDUP(((($X$2*1.35)/100)*'All Data'!I15),0)</f>
        <v>2</v>
      </c>
      <c r="D10" s="239"/>
      <c r="E10" s="60">
        <f>IF('All Data'!I34&lt;0,0,'All Data'!J15)</f>
        <v>2</v>
      </c>
      <c r="G10" s="285" t="s">
        <v>15</v>
      </c>
      <c r="H10" s="285"/>
      <c r="I10" s="242">
        <f>ROUNDUP(((($X$2*1.35)/100)*'All Data'!H34),0)</f>
        <v>3</v>
      </c>
      <c r="J10" s="4"/>
      <c r="K10" s="3">
        <f>IF('All Data'!I34&lt;0,0,'All Data'!I34)</f>
        <v>3</v>
      </c>
      <c r="M10" s="285" t="s">
        <v>15</v>
      </c>
      <c r="N10" s="285"/>
      <c r="O10" s="3">
        <f>ROUNDUP(((($X$2*1.35)/100)*'All Data'!I55),0)</f>
        <v>5</v>
      </c>
      <c r="P10" s="5"/>
      <c r="Q10" s="399">
        <f>IF('All Data'!J55&lt;0,0,'All Data'!J55)</f>
        <v>5</v>
      </c>
      <c r="R10" s="399"/>
      <c r="T10" s="285" t="s">
        <v>15</v>
      </c>
      <c r="U10" s="285"/>
      <c r="V10" s="7">
        <f t="shared" si="2"/>
        <v>9</v>
      </c>
      <c r="W10" s="60">
        <f t="shared" si="3"/>
        <v>0</v>
      </c>
      <c r="X10" s="400">
        <f t="shared" si="4"/>
        <v>9</v>
      </c>
      <c r="Y10" s="400"/>
    </row>
    <row r="11" spans="1:32">
      <c r="A11" s="285" t="s">
        <v>17</v>
      </c>
      <c r="B11" s="285"/>
      <c r="C11" s="60">
        <f>ROUNDUP(((($X$2*1.35)/100)*'All Data'!I16),0)</f>
        <v>9</v>
      </c>
      <c r="D11" s="239"/>
      <c r="E11" s="60">
        <f>IF('All Data'!I35&lt;0,0,'All Data'!J16)</f>
        <v>9</v>
      </c>
      <c r="G11" s="285" t="s">
        <v>17</v>
      </c>
      <c r="H11" s="285"/>
      <c r="I11" s="242">
        <f>ROUNDUP(((($X$2*1.35)/100)*'All Data'!H35),0)</f>
        <v>13</v>
      </c>
      <c r="J11" s="4"/>
      <c r="K11" s="3">
        <f>IF('All Data'!I35&lt;0,0,'All Data'!I35)</f>
        <v>13</v>
      </c>
      <c r="M11" s="285" t="s">
        <v>17</v>
      </c>
      <c r="N11" s="285"/>
      <c r="O11" s="3">
        <f>ROUNDUP(((($X$2*1.35)/100)*'All Data'!I56),0)</f>
        <v>22</v>
      </c>
      <c r="P11" s="5"/>
      <c r="Q11" s="399">
        <f>IF('All Data'!J56&lt;0,0,'All Data'!J56)</f>
        <v>22</v>
      </c>
      <c r="R11" s="399"/>
      <c r="T11" s="285" t="s">
        <v>17</v>
      </c>
      <c r="U11" s="285"/>
      <c r="V11" s="7">
        <f t="shared" si="2"/>
        <v>39.5</v>
      </c>
      <c r="W11" s="60">
        <f t="shared" si="3"/>
        <v>0</v>
      </c>
      <c r="X11" s="400">
        <f t="shared" si="4"/>
        <v>39.5</v>
      </c>
      <c r="Y11" s="400"/>
    </row>
    <row r="12" spans="1:32">
      <c r="A12" s="285" t="s">
        <v>19</v>
      </c>
      <c r="B12" s="285"/>
      <c r="C12" s="60">
        <f>ROUNDUP(((($X$2*1.35)/100)*'All Data'!I17),0)</f>
        <v>4</v>
      </c>
      <c r="D12" s="239"/>
      <c r="E12" s="60">
        <f>IF('All Data'!I36&lt;0,0,'All Data'!J17)</f>
        <v>4</v>
      </c>
      <c r="G12" s="285" t="s">
        <v>19</v>
      </c>
      <c r="H12" s="285"/>
      <c r="I12" s="242">
        <f>ROUNDUP(((($X$2*1.35)/100)*'All Data'!H36),0)</f>
        <v>4</v>
      </c>
      <c r="J12" s="4"/>
      <c r="K12" s="3">
        <f>IF('All Data'!I36&lt;0,0,'All Data'!I36)</f>
        <v>4</v>
      </c>
      <c r="M12" s="285" t="s">
        <v>19</v>
      </c>
      <c r="N12" s="285"/>
      <c r="O12" s="3">
        <f>ROUNDUP(((($X$2*1.35)/100)*'All Data'!I57),0)</f>
        <v>9</v>
      </c>
      <c r="P12" s="5"/>
      <c r="Q12" s="399">
        <f>IF('All Data'!J57&lt;0,0,'All Data'!J57)</f>
        <v>9</v>
      </c>
      <c r="R12" s="399"/>
      <c r="T12" s="285" t="s">
        <v>19</v>
      </c>
      <c r="U12" s="285"/>
      <c r="V12" s="7">
        <f t="shared" si="2"/>
        <v>15</v>
      </c>
      <c r="W12" s="60">
        <f t="shared" si="3"/>
        <v>0</v>
      </c>
      <c r="X12" s="400">
        <f t="shared" si="4"/>
        <v>15</v>
      </c>
      <c r="Y12" s="400"/>
    </row>
    <row r="13" spans="1:32">
      <c r="A13" s="285" t="s">
        <v>21</v>
      </c>
      <c r="B13" s="285"/>
      <c r="C13" s="60">
        <f>ROUNDUP(((($X$2*1.35)/100)*'All Data'!I18),0)</f>
        <v>3</v>
      </c>
      <c r="D13" s="239"/>
      <c r="E13" s="60">
        <f>IF('All Data'!I37&lt;0,0,'All Data'!J18)</f>
        <v>3</v>
      </c>
      <c r="G13" s="285" t="s">
        <v>21</v>
      </c>
      <c r="H13" s="285"/>
      <c r="I13" s="242">
        <f>ROUNDUP(((($X$2*1.35)/100)*'All Data'!H37),0)</f>
        <v>4</v>
      </c>
      <c r="J13" s="4"/>
      <c r="K13" s="3">
        <f>IF('All Data'!I37&lt;0,0,'All Data'!I37)</f>
        <v>4</v>
      </c>
      <c r="M13" s="285" t="s">
        <v>21</v>
      </c>
      <c r="N13" s="285"/>
      <c r="O13" s="3">
        <f>ROUNDUP(((($X$2*1.35)/100)*'All Data'!I58),0)+AA13</f>
        <v>9</v>
      </c>
      <c r="P13" s="5"/>
      <c r="Q13" s="310">
        <f>IF('All Data'!J58&lt;0,0,'All Data'!J58)</f>
        <v>9</v>
      </c>
      <c r="R13" s="310"/>
      <c r="T13" s="285" t="s">
        <v>21</v>
      </c>
      <c r="U13" s="285"/>
      <c r="V13" s="7">
        <f t="shared" si="2"/>
        <v>14.5</v>
      </c>
      <c r="W13" s="60">
        <f t="shared" si="3"/>
        <v>0</v>
      </c>
      <c r="X13" s="400">
        <f t="shared" si="4"/>
        <v>14.5</v>
      </c>
      <c r="Y13" s="400"/>
      <c r="AA13">
        <f>'Production Guide'!K48</f>
        <v>3</v>
      </c>
    </row>
    <row r="14" spans="1:32">
      <c r="A14" s="285" t="s">
        <v>23</v>
      </c>
      <c r="B14" s="285"/>
      <c r="C14" s="60">
        <f>ROUNDUP(((($X$2*1.35)/100)*'All Data'!I19),0)</f>
        <v>3</v>
      </c>
      <c r="D14" s="239"/>
      <c r="E14" s="60">
        <f>IF('All Data'!I38&lt;0,0,'All Data'!J19)</f>
        <v>3</v>
      </c>
      <c r="G14" s="285" t="s">
        <v>23</v>
      </c>
      <c r="H14" s="285"/>
      <c r="I14" s="242">
        <f>ROUNDUP(((($X$2*1.35)/100)*'All Data'!H38),0)</f>
        <v>2</v>
      </c>
      <c r="J14" s="4"/>
      <c r="K14" s="3">
        <f>IF('All Data'!I38&lt;0,0,'All Data'!I38)</f>
        <v>2</v>
      </c>
      <c r="M14" s="285" t="s">
        <v>23</v>
      </c>
      <c r="N14" s="285"/>
      <c r="O14" s="3">
        <f>ROUNDUP(((($X$2*1.35)/100)*'All Data'!I59),0)</f>
        <v>6</v>
      </c>
      <c r="P14" s="5"/>
      <c r="Q14" s="399">
        <f>IF('All Data'!J59&lt;0,0,'All Data'!J59)</f>
        <v>6</v>
      </c>
      <c r="R14" s="399"/>
      <c r="T14" s="285" t="s">
        <v>23</v>
      </c>
      <c r="U14" s="285"/>
      <c r="V14" s="7">
        <f t="shared" si="2"/>
        <v>9.5</v>
      </c>
      <c r="W14" s="60">
        <f t="shared" si="3"/>
        <v>0</v>
      </c>
      <c r="X14" s="400">
        <f t="shared" si="4"/>
        <v>9.5</v>
      </c>
      <c r="Y14" s="400"/>
    </row>
    <row r="15" spans="1:32">
      <c r="A15" s="285" t="s">
        <v>25</v>
      </c>
      <c r="B15" s="285"/>
      <c r="C15" s="60">
        <f>ROUNDUP(((($X$2*1.35)/100)*'All Data'!I20),0)</f>
        <v>3</v>
      </c>
      <c r="D15" s="239"/>
      <c r="E15" s="60">
        <f>IF('All Data'!I39&lt;0,0,'All Data'!J20)</f>
        <v>3</v>
      </c>
      <c r="G15" s="285" t="s">
        <v>25</v>
      </c>
      <c r="H15" s="285"/>
      <c r="I15" s="242">
        <f>ROUNDUP(((($X$2*1.35)/100)*'All Data'!H39),0)</f>
        <v>3</v>
      </c>
      <c r="J15" s="4"/>
      <c r="K15" s="3">
        <f>IF('All Data'!I39&lt;0,0,'All Data'!I39)</f>
        <v>3</v>
      </c>
      <c r="M15" s="285" t="s">
        <v>25</v>
      </c>
      <c r="N15" s="285"/>
      <c r="O15" s="3">
        <f>ROUNDUP(((($X$2*1.35)/100)*'All Data'!I60),0)</f>
        <v>5</v>
      </c>
      <c r="P15" s="5"/>
      <c r="Q15" s="399">
        <f>IF('All Data'!J60&lt;0,0,'All Data'!J60)</f>
        <v>5</v>
      </c>
      <c r="R15" s="399"/>
      <c r="T15" s="285" t="s">
        <v>25</v>
      </c>
      <c r="U15" s="285"/>
      <c r="V15" s="7">
        <f t="shared" si="2"/>
        <v>9.5</v>
      </c>
      <c r="W15" s="60">
        <f t="shared" si="3"/>
        <v>0</v>
      </c>
      <c r="X15" s="400">
        <f t="shared" si="4"/>
        <v>9.5</v>
      </c>
      <c r="Y15" s="400"/>
    </row>
    <row r="16" spans="1:32">
      <c r="A16" s="283" t="s">
        <v>27</v>
      </c>
      <c r="B16" s="284"/>
      <c r="C16" s="60">
        <f>ROUNDUP(((($X$2*1.35)/100)*'All Data'!I21),0)</f>
        <v>0</v>
      </c>
      <c r="D16" s="239"/>
      <c r="E16" s="60">
        <f>IF('All Data'!I40&lt;0,0,'All Data'!J21)</f>
        <v>0</v>
      </c>
      <c r="G16" s="283" t="s">
        <v>27</v>
      </c>
      <c r="H16" s="284"/>
      <c r="I16" s="242">
        <f>ROUNDUP(((($X$2*1.35)/100)*'All Data'!H40),0)</f>
        <v>0</v>
      </c>
      <c r="J16" s="4"/>
      <c r="K16" s="3">
        <f>IF('All Data'!I40&lt;0,0,'All Data'!I40)</f>
        <v>0</v>
      </c>
      <c r="M16" s="283" t="s">
        <v>27</v>
      </c>
      <c r="N16" s="284"/>
      <c r="O16" s="3">
        <f>ROUNDUP(((($X$2*1.35)/100)*'All Data'!I61),0)</f>
        <v>0</v>
      </c>
      <c r="P16" s="5"/>
      <c r="Q16" s="399">
        <f>IF('All Data'!J61&lt;0,0,'All Data'!J61)</f>
        <v>0</v>
      </c>
      <c r="R16" s="399"/>
      <c r="T16" s="283" t="s">
        <v>27</v>
      </c>
      <c r="U16" s="284"/>
      <c r="V16" s="7">
        <f t="shared" si="2"/>
        <v>0</v>
      </c>
      <c r="W16" s="60">
        <f t="shared" si="3"/>
        <v>0</v>
      </c>
      <c r="X16" s="400">
        <f t="shared" ref="X16" si="5">IF((V16-W16)&lt;0,0,(V16-W16))</f>
        <v>0</v>
      </c>
      <c r="Y16" s="400"/>
    </row>
    <row r="17" spans="1:25">
      <c r="A17" s="285" t="s">
        <v>29</v>
      </c>
      <c r="B17" s="285"/>
      <c r="C17" s="60">
        <f>ROUNDUP(((($X$2*1.35)/100)*'All Data'!I22),0)</f>
        <v>4</v>
      </c>
      <c r="D17" s="239"/>
      <c r="E17" s="60">
        <f>IF('All Data'!I41&lt;0,0,'All Data'!J22)</f>
        <v>4</v>
      </c>
      <c r="G17" s="285" t="s">
        <v>29</v>
      </c>
      <c r="H17" s="285"/>
      <c r="I17" s="242">
        <f>ROUNDUP(((($X$2*1.35)/100)*'All Data'!H41),0)</f>
        <v>4</v>
      </c>
      <c r="J17" s="4"/>
      <c r="K17" s="3">
        <f>IF('All Data'!I41&lt;0,0,'All Data'!I41)</f>
        <v>4</v>
      </c>
      <c r="M17" s="285" t="s">
        <v>29</v>
      </c>
      <c r="N17" s="285"/>
      <c r="O17" s="3">
        <f>ROUNDUP(((($X$2*1.35)/100)*'All Data'!I62),0)</f>
        <v>9</v>
      </c>
      <c r="P17" s="5"/>
      <c r="Q17" s="310">
        <f>IF('All Data'!J62&lt;0,0,'All Data'!J62)</f>
        <v>9</v>
      </c>
      <c r="R17" s="310"/>
      <c r="T17" s="285" t="s">
        <v>29</v>
      </c>
      <c r="U17" s="285"/>
      <c r="V17" s="7">
        <f t="shared" si="2"/>
        <v>15</v>
      </c>
      <c r="W17" s="60">
        <f t="shared" si="3"/>
        <v>0</v>
      </c>
      <c r="X17" s="400">
        <f t="shared" si="4"/>
        <v>15</v>
      </c>
      <c r="Y17" s="400"/>
    </row>
    <row r="18" spans="1:25">
      <c r="A18" s="285" t="s">
        <v>31</v>
      </c>
      <c r="B18" s="285"/>
      <c r="C18" s="60">
        <f>ROUNDUP(((($X$2*1.35)/100)*'All Data'!I23),0)</f>
        <v>5</v>
      </c>
      <c r="D18" s="239"/>
      <c r="E18" s="60">
        <f>IF('All Data'!I42&lt;0,0,'All Data'!J23)</f>
        <v>5</v>
      </c>
      <c r="G18" s="285" t="s">
        <v>31</v>
      </c>
      <c r="H18" s="285"/>
      <c r="I18" s="242">
        <f>ROUNDUP(((($X$2*1.35)/100)*'All Data'!H42),0)</f>
        <v>5</v>
      </c>
      <c r="J18" s="4"/>
      <c r="K18" s="3">
        <f>IF('All Data'!I42&lt;0,0,'All Data'!I42)</f>
        <v>5</v>
      </c>
      <c r="M18" s="285" t="s">
        <v>31</v>
      </c>
      <c r="N18" s="285"/>
      <c r="O18" s="3">
        <f>ROUNDUP(((($X$2*1.35)/100)*'All Data'!I63),0)+AA13</f>
        <v>13</v>
      </c>
      <c r="P18" s="5"/>
      <c r="Q18" s="310">
        <f>IF('All Data'!J63&lt;0,0,'All Data'!J63)</f>
        <v>13</v>
      </c>
      <c r="R18" s="310"/>
      <c r="T18" s="285" t="s">
        <v>31</v>
      </c>
      <c r="U18" s="285"/>
      <c r="V18" s="7">
        <f t="shared" si="2"/>
        <v>20.5</v>
      </c>
      <c r="W18" s="60">
        <f t="shared" si="3"/>
        <v>0</v>
      </c>
      <c r="X18" s="400">
        <f t="shared" si="4"/>
        <v>20.5</v>
      </c>
      <c r="Y18" s="400"/>
    </row>
    <row r="19" spans="1:25">
      <c r="A19" s="285" t="s">
        <v>33</v>
      </c>
      <c r="B19" s="285"/>
      <c r="C19" s="60">
        <f>ROUNDUP(((($X$2*1.35)/100)*'All Data'!I24),0)</f>
        <v>3</v>
      </c>
      <c r="D19" s="239"/>
      <c r="E19" s="60">
        <f>IF('All Data'!I43&lt;0,0,'All Data'!J24)</f>
        <v>3</v>
      </c>
      <c r="G19" s="285" t="s">
        <v>33</v>
      </c>
      <c r="H19" s="285"/>
      <c r="I19" s="242">
        <f>ROUNDUP(((($X$2*1.35)/100)*'All Data'!H43),0)</f>
        <v>2</v>
      </c>
      <c r="J19" s="4"/>
      <c r="K19" s="3">
        <f>IF('All Data'!I43&lt;0,0,'All Data'!I43)</f>
        <v>2</v>
      </c>
      <c r="M19" s="285" t="s">
        <v>33</v>
      </c>
      <c r="N19" s="285"/>
      <c r="O19" s="3">
        <f>ROUNDUP(((($X$2*1.35)/100)*'All Data'!I64),0)</f>
        <v>4</v>
      </c>
      <c r="P19" s="5"/>
      <c r="Q19" s="310">
        <f>IF('All Data'!J64&lt;0,0,'All Data'!J64)</f>
        <v>4</v>
      </c>
      <c r="R19" s="310"/>
      <c r="T19" s="285" t="s">
        <v>33</v>
      </c>
      <c r="U19" s="285"/>
      <c r="V19" s="7">
        <f t="shared" si="2"/>
        <v>7.5</v>
      </c>
      <c r="W19" s="60">
        <f t="shared" si="3"/>
        <v>0</v>
      </c>
      <c r="X19" s="400">
        <f t="shared" si="4"/>
        <v>7.5</v>
      </c>
      <c r="Y19" s="400"/>
    </row>
    <row r="20" spans="1:25">
      <c r="A20" s="285" t="s">
        <v>34</v>
      </c>
      <c r="B20" s="285"/>
      <c r="C20" s="60">
        <f>ROUNDUP(((($X$2*1.35)/100)*'All Data'!I25),0)</f>
        <v>3</v>
      </c>
      <c r="D20" s="239"/>
      <c r="E20" s="60">
        <f>IF('All Data'!I44&lt;0,0,'All Data'!J25)</f>
        <v>3</v>
      </c>
      <c r="G20" s="285" t="s">
        <v>34</v>
      </c>
      <c r="H20" s="285"/>
      <c r="I20" s="242">
        <f>ROUNDUP(((($X$2*1.35)/100)*'All Data'!H44),0)</f>
        <v>2</v>
      </c>
      <c r="J20" s="4"/>
      <c r="K20" s="3">
        <f>IF('All Data'!I44&lt;0,0,'All Data'!I44)</f>
        <v>2</v>
      </c>
      <c r="M20" s="285" t="s">
        <v>34</v>
      </c>
      <c r="N20" s="285"/>
      <c r="O20" s="3">
        <f>ROUNDUP(((($X$2*1.35)/100)*'All Data'!I65),0)</f>
        <v>4</v>
      </c>
      <c r="P20" s="5"/>
      <c r="Q20" s="310">
        <f>IF('All Data'!J65&lt;0,0,'All Data'!J65)</f>
        <v>4</v>
      </c>
      <c r="R20" s="310"/>
      <c r="T20" s="285" t="s">
        <v>34</v>
      </c>
      <c r="U20" s="285"/>
      <c r="V20" s="7">
        <f t="shared" si="2"/>
        <v>7.5</v>
      </c>
      <c r="W20" s="60">
        <f t="shared" si="3"/>
        <v>0</v>
      </c>
      <c r="X20" s="400">
        <f t="shared" si="4"/>
        <v>7.5</v>
      </c>
      <c r="Y20" s="400"/>
    </row>
    <row r="21" spans="1:25">
      <c r="A21" s="285" t="s">
        <v>36</v>
      </c>
      <c r="B21" s="285"/>
      <c r="C21" s="60">
        <f>ROUNDUP(((($X$2*1.35)/100)*'All Data'!I26),0)</f>
        <v>4</v>
      </c>
      <c r="D21" s="239"/>
      <c r="E21" s="60">
        <f>IF('All Data'!I45&lt;0,0,'All Data'!J26)</f>
        <v>4</v>
      </c>
      <c r="G21" s="285" t="s">
        <v>36</v>
      </c>
      <c r="H21" s="285"/>
      <c r="I21" s="242">
        <f>ROUNDUP(((($X$2*1.35)/100)*'All Data'!H45),0)</f>
        <v>3</v>
      </c>
      <c r="J21" s="4"/>
      <c r="K21" s="3">
        <f>IF('All Data'!I45&lt;0,0,'All Data'!I45)</f>
        <v>3</v>
      </c>
      <c r="M21" s="285" t="s">
        <v>36</v>
      </c>
      <c r="N21" s="285"/>
      <c r="O21" s="3">
        <f>ROUNDUP(((($X$2*1.35)/100)*'All Data'!I66),0)</f>
        <v>3</v>
      </c>
      <c r="P21" s="5"/>
      <c r="Q21" s="399">
        <f>IF('All Data'!J66&lt;0,0,'All Data'!J66)</f>
        <v>3</v>
      </c>
      <c r="R21" s="399"/>
      <c r="T21" s="285" t="s">
        <v>36</v>
      </c>
      <c r="U21" s="285"/>
      <c r="V21" s="7">
        <f t="shared" si="2"/>
        <v>8</v>
      </c>
      <c r="W21" s="60">
        <f t="shared" si="3"/>
        <v>0</v>
      </c>
      <c r="X21" s="400">
        <f t="shared" si="4"/>
        <v>8</v>
      </c>
      <c r="Y21" s="400"/>
    </row>
    <row r="22" spans="1:25">
      <c r="A22" s="285" t="s">
        <v>38</v>
      </c>
      <c r="B22" s="285"/>
      <c r="C22" s="60">
        <f>ROUNDUP(((($X$2*1.35)/100)*'All Data'!I27),0)</f>
        <v>2</v>
      </c>
      <c r="D22" s="239"/>
      <c r="E22" s="60">
        <f>IF('All Data'!I46&lt;0,0,'All Data'!J27)</f>
        <v>2</v>
      </c>
      <c r="G22" s="285" t="s">
        <v>38</v>
      </c>
      <c r="H22" s="285"/>
      <c r="I22" s="242">
        <f>ROUNDUP(((($X$2*1.35)/100)*'All Data'!H46),0)</f>
        <v>1</v>
      </c>
      <c r="J22" s="4"/>
      <c r="K22" s="3">
        <f>IF('All Data'!I46&lt;0,0,'All Data'!I46)</f>
        <v>1</v>
      </c>
      <c r="M22" s="285" t="s">
        <v>38</v>
      </c>
      <c r="N22" s="285"/>
      <c r="O22" s="3">
        <f>ROUNDUP(((($X$2*1.35)/100)*'All Data'!I67),0)</f>
        <v>2</v>
      </c>
      <c r="P22" s="5"/>
      <c r="Q22" s="399">
        <f>IF('All Data'!J67&lt;0,0,'All Data'!J67)</f>
        <v>2</v>
      </c>
      <c r="R22" s="399"/>
      <c r="T22" s="285" t="s">
        <v>38</v>
      </c>
      <c r="U22" s="285"/>
      <c r="V22" s="7">
        <f t="shared" si="2"/>
        <v>4</v>
      </c>
      <c r="W22" s="60">
        <f t="shared" si="3"/>
        <v>0</v>
      </c>
      <c r="X22" s="400">
        <f t="shared" si="4"/>
        <v>4</v>
      </c>
      <c r="Y22" s="400"/>
    </row>
    <row r="23" spans="1:25" ht="15.75" thickBot="1"/>
    <row r="24" spans="1:25" ht="15.75" thickBot="1">
      <c r="T24" s="405" t="s">
        <v>153</v>
      </c>
      <c r="U24" s="405"/>
      <c r="V24" s="406"/>
      <c r="W24" s="409">
        <f>SUM(X6:Y19)-X14</f>
        <v>205</v>
      </c>
      <c r="X24" s="410"/>
    </row>
    <row r="25" spans="1:25" ht="15.75" thickBot="1">
      <c r="G25" s="401" t="s">
        <v>154</v>
      </c>
      <c r="H25" s="402"/>
      <c r="I25" s="403" t="s">
        <v>155</v>
      </c>
      <c r="J25" s="403"/>
      <c r="K25" s="404"/>
      <c r="T25" s="407"/>
      <c r="U25" s="407"/>
      <c r="V25" s="408"/>
      <c r="W25" s="411"/>
      <c r="X25" s="412"/>
    </row>
    <row r="26" spans="1:25">
      <c r="G26" s="307" t="s">
        <v>40</v>
      </c>
      <c r="H26" s="307"/>
      <c r="I26" s="400">
        <f>((($X$2*1.35)/100)*'All Data'!J72)/'All Data'!K72</f>
        <v>4.3061875856483542</v>
      </c>
      <c r="J26" s="400"/>
      <c r="K26" s="400"/>
    </row>
    <row r="27" spans="1:25">
      <c r="G27" s="285" t="s">
        <v>42</v>
      </c>
      <c r="H27" s="285"/>
      <c r="I27" s="400">
        <f>((($X$2*1.35)/100)*'All Data'!J73)/'All Data'!K73</f>
        <v>1.7330888885278137</v>
      </c>
      <c r="J27" s="400"/>
      <c r="K27" s="400"/>
    </row>
    <row r="28" spans="1:25">
      <c r="G28" s="285" t="s">
        <v>44</v>
      </c>
      <c r="H28" s="285"/>
      <c r="I28" s="400">
        <f>((($X$2*1.35)/100)*'All Data'!J74)/'All Data'!K74</f>
        <v>4.2050021533753918</v>
      </c>
      <c r="J28" s="400"/>
      <c r="K28" s="400"/>
    </row>
    <row r="29" spans="1:25">
      <c r="G29" s="285" t="s">
        <v>46</v>
      </c>
      <c r="H29" s="285"/>
      <c r="I29" s="400">
        <f>((($X$2*1.35)/100)*'All Data'!J75)/'All Data'!K75</f>
        <v>2.7275683065217127</v>
      </c>
      <c r="J29" s="400"/>
      <c r="K29" s="400"/>
    </row>
    <row r="31" spans="1:25" ht="35.450000000000003" customHeight="1"/>
    <row r="32" spans="1:25" ht="36">
      <c r="G32" s="395" t="s">
        <v>156</v>
      </c>
      <c r="H32" s="395" t="s">
        <v>157</v>
      </c>
      <c r="I32" s="117" t="s">
        <v>158</v>
      </c>
      <c r="J32" s="117" t="s">
        <v>159</v>
      </c>
      <c r="K32" s="395" t="s">
        <v>160</v>
      </c>
      <c r="L32" s="395" t="s">
        <v>161</v>
      </c>
      <c r="M32" s="250" t="s">
        <v>162</v>
      </c>
    </row>
    <row r="33" spans="7:13" ht="54">
      <c r="G33" s="396"/>
      <c r="H33" s="396"/>
      <c r="I33" s="111" t="s">
        <v>163</v>
      </c>
      <c r="J33" s="111" t="s">
        <v>164</v>
      </c>
      <c r="K33" s="396"/>
      <c r="L33" s="396"/>
      <c r="M33" s="251" t="s">
        <v>165</v>
      </c>
    </row>
    <row r="34" spans="7:13" ht="36.75" thickBot="1">
      <c r="G34" s="397"/>
      <c r="H34" s="397"/>
      <c r="I34" s="112" t="s">
        <v>166</v>
      </c>
      <c r="J34" s="112" t="s">
        <v>166</v>
      </c>
      <c r="K34" s="397"/>
      <c r="L34" s="397"/>
      <c r="M34" s="118"/>
    </row>
    <row r="35" spans="7:13" ht="18">
      <c r="G35" s="119" t="s">
        <v>167</v>
      </c>
      <c r="H35" s="113" t="s">
        <v>168</v>
      </c>
      <c r="I35" s="113" t="s">
        <v>169</v>
      </c>
      <c r="J35" s="113" t="s">
        <v>170</v>
      </c>
      <c r="K35" s="113" t="s">
        <v>169</v>
      </c>
      <c r="L35" s="113" t="s">
        <v>169</v>
      </c>
      <c r="M35" s="120" t="s">
        <v>169</v>
      </c>
    </row>
    <row r="36" spans="7:13" ht="18">
      <c r="G36" s="121" t="s">
        <v>171</v>
      </c>
      <c r="H36" s="114" t="s">
        <v>168</v>
      </c>
      <c r="I36" s="114" t="s">
        <v>168</v>
      </c>
      <c r="J36" s="114" t="s">
        <v>169</v>
      </c>
      <c r="K36" s="114" t="s">
        <v>169</v>
      </c>
      <c r="L36" s="114" t="s">
        <v>169</v>
      </c>
      <c r="M36" s="122" t="s">
        <v>169</v>
      </c>
    </row>
    <row r="37" spans="7:13" ht="18">
      <c r="G37" s="123" t="s">
        <v>172</v>
      </c>
      <c r="H37" s="115" t="s">
        <v>173</v>
      </c>
      <c r="I37" s="115" t="s">
        <v>168</v>
      </c>
      <c r="J37" s="115" t="s">
        <v>174</v>
      </c>
      <c r="K37" s="115" t="s">
        <v>169</v>
      </c>
      <c r="L37" s="115" t="s">
        <v>168</v>
      </c>
      <c r="M37" s="124" t="s">
        <v>169</v>
      </c>
    </row>
    <row r="38" spans="7:13" ht="18">
      <c r="G38" s="121" t="s">
        <v>175</v>
      </c>
      <c r="H38" s="114" t="s">
        <v>176</v>
      </c>
      <c r="I38" s="114" t="s">
        <v>173</v>
      </c>
      <c r="J38" s="114" t="s">
        <v>174</v>
      </c>
      <c r="K38" s="114" t="s">
        <v>168</v>
      </c>
      <c r="L38" s="114" t="s">
        <v>168</v>
      </c>
      <c r="M38" s="122" t="s">
        <v>169</v>
      </c>
    </row>
    <row r="39" spans="7:13" ht="18">
      <c r="G39" s="125" t="s">
        <v>177</v>
      </c>
      <c r="H39" s="116" t="s">
        <v>176</v>
      </c>
      <c r="I39" s="116" t="s">
        <v>173</v>
      </c>
      <c r="J39" s="116" t="s">
        <v>168</v>
      </c>
      <c r="K39" s="116" t="s">
        <v>168</v>
      </c>
      <c r="L39" s="116" t="s">
        <v>168</v>
      </c>
      <c r="M39" s="126" t="s">
        <v>169</v>
      </c>
    </row>
    <row r="40" spans="7:13" ht="18">
      <c r="G40" s="121" t="s">
        <v>178</v>
      </c>
      <c r="H40" s="114" t="s">
        <v>179</v>
      </c>
      <c r="I40" s="114" t="s">
        <v>176</v>
      </c>
      <c r="J40" s="114" t="s">
        <v>168</v>
      </c>
      <c r="K40" s="114" t="s">
        <v>168</v>
      </c>
      <c r="L40" s="114" t="s">
        <v>168</v>
      </c>
      <c r="M40" s="122" t="s">
        <v>168</v>
      </c>
    </row>
    <row r="41" spans="7:13" ht="18">
      <c r="G41" s="125" t="s">
        <v>180</v>
      </c>
      <c r="H41" s="116" t="s">
        <v>181</v>
      </c>
      <c r="I41" s="116" t="s">
        <v>179</v>
      </c>
      <c r="J41" s="116" t="s">
        <v>182</v>
      </c>
      <c r="K41" s="116" t="s">
        <v>173</v>
      </c>
      <c r="L41" s="116" t="s">
        <v>173</v>
      </c>
      <c r="M41" s="126" t="s">
        <v>168</v>
      </c>
    </row>
    <row r="42" spans="7:13" ht="18">
      <c r="G42" s="121" t="s">
        <v>183</v>
      </c>
      <c r="H42" s="114" t="s">
        <v>181</v>
      </c>
      <c r="I42" s="114" t="s">
        <v>179</v>
      </c>
      <c r="J42" s="114" t="s">
        <v>173</v>
      </c>
      <c r="K42" s="114" t="s">
        <v>173</v>
      </c>
      <c r="L42" s="114" t="s">
        <v>173</v>
      </c>
      <c r="M42" s="122" t="s">
        <v>168</v>
      </c>
    </row>
    <row r="43" spans="7:13" ht="36">
      <c r="G43" s="125" t="s">
        <v>184</v>
      </c>
      <c r="H43" s="116" t="s">
        <v>185</v>
      </c>
      <c r="I43" s="116" t="s">
        <v>181</v>
      </c>
      <c r="J43" s="116" t="s">
        <v>173</v>
      </c>
      <c r="K43" s="116" t="s">
        <v>173</v>
      </c>
      <c r="L43" s="116" t="s">
        <v>173</v>
      </c>
      <c r="M43" s="126" t="s">
        <v>168</v>
      </c>
    </row>
    <row r="44" spans="7:13" ht="36">
      <c r="G44" s="127" t="s">
        <v>186</v>
      </c>
      <c r="H44" s="128" t="s">
        <v>187</v>
      </c>
      <c r="I44" s="128" t="s">
        <v>181</v>
      </c>
      <c r="J44" s="128" t="s">
        <v>188</v>
      </c>
      <c r="K44" s="128" t="s">
        <v>173</v>
      </c>
      <c r="L44" s="128" t="s">
        <v>173</v>
      </c>
      <c r="M44" s="129" t="s">
        <v>168</v>
      </c>
    </row>
  </sheetData>
  <sheetProtection algorithmName="SHA-512" hashValue="L9fAIbtx7IIf2B5WXii1n+O9+fJk2I7UB1xuR7Yd9Ro3pUVwcJDfVW56XnxD+YmNR4kZGtsWKaCLyBrXJupjzQ==" saltValue="VzbpjAGKdP1hwPiV40J4fg==" spinCount="100000" sheet="1" objects="1" scenarios="1"/>
  <mergeCells count="132">
    <mergeCell ref="X18:Y18"/>
    <mergeCell ref="G21:H21"/>
    <mergeCell ref="M21:N21"/>
    <mergeCell ref="Q21:R21"/>
    <mergeCell ref="T21:U21"/>
    <mergeCell ref="X21:Y21"/>
    <mergeCell ref="G20:H20"/>
    <mergeCell ref="M20:N20"/>
    <mergeCell ref="Q20:R20"/>
    <mergeCell ref="T20:U20"/>
    <mergeCell ref="X20:Y20"/>
    <mergeCell ref="G19:H19"/>
    <mergeCell ref="M19:N19"/>
    <mergeCell ref="Q19:R19"/>
    <mergeCell ref="T19:U19"/>
    <mergeCell ref="X19:Y19"/>
    <mergeCell ref="G18:H18"/>
    <mergeCell ref="M18:N18"/>
    <mergeCell ref="Q18:R18"/>
    <mergeCell ref="T18:U18"/>
    <mergeCell ref="A22:B22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6:B16"/>
    <mergeCell ref="A18:B18"/>
    <mergeCell ref="A19:B19"/>
    <mergeCell ref="A20:B20"/>
    <mergeCell ref="A21:B21"/>
    <mergeCell ref="G6:H6"/>
    <mergeCell ref="M6:N6"/>
    <mergeCell ref="T6:U6"/>
    <mergeCell ref="X6:Y6"/>
    <mergeCell ref="Q6:R6"/>
    <mergeCell ref="A4:E4"/>
    <mergeCell ref="A5:B5"/>
    <mergeCell ref="A6:B6"/>
    <mergeCell ref="A7:B7"/>
    <mergeCell ref="G29:H29"/>
    <mergeCell ref="G25:H25"/>
    <mergeCell ref="I25:K25"/>
    <mergeCell ref="I26:K26"/>
    <mergeCell ref="I27:K27"/>
    <mergeCell ref="I28:K28"/>
    <mergeCell ref="I29:K29"/>
    <mergeCell ref="X22:Y22"/>
    <mergeCell ref="G26:H26"/>
    <mergeCell ref="G27:H27"/>
    <mergeCell ref="G28:H28"/>
    <mergeCell ref="T24:V25"/>
    <mergeCell ref="W24:X25"/>
    <mergeCell ref="G22:H22"/>
    <mergeCell ref="M22:N22"/>
    <mergeCell ref="Q22:R22"/>
    <mergeCell ref="T22:U22"/>
    <mergeCell ref="G15:H15"/>
    <mergeCell ref="M15:N15"/>
    <mergeCell ref="Q15:R15"/>
    <mergeCell ref="T15:U15"/>
    <mergeCell ref="X15:Y15"/>
    <mergeCell ref="G17:H17"/>
    <mergeCell ref="M17:N17"/>
    <mergeCell ref="Q17:R17"/>
    <mergeCell ref="T17:U17"/>
    <mergeCell ref="X17:Y17"/>
    <mergeCell ref="M16:N16"/>
    <mergeCell ref="T16:U16"/>
    <mergeCell ref="X16:Y16"/>
    <mergeCell ref="Q16:R16"/>
    <mergeCell ref="G16:H16"/>
    <mergeCell ref="G13:H13"/>
    <mergeCell ref="M13:N13"/>
    <mergeCell ref="Q13:R13"/>
    <mergeCell ref="T13:U13"/>
    <mergeCell ref="X13:Y13"/>
    <mergeCell ref="G14:H14"/>
    <mergeCell ref="M14:N14"/>
    <mergeCell ref="Q14:R14"/>
    <mergeCell ref="T14:U14"/>
    <mergeCell ref="X14:Y14"/>
    <mergeCell ref="G11:H11"/>
    <mergeCell ref="M11:N11"/>
    <mergeCell ref="Q11:R11"/>
    <mergeCell ref="T11:U11"/>
    <mergeCell ref="X11:Y11"/>
    <mergeCell ref="G12:H12"/>
    <mergeCell ref="M12:N12"/>
    <mergeCell ref="Q12:R12"/>
    <mergeCell ref="T12:U12"/>
    <mergeCell ref="X12:Y12"/>
    <mergeCell ref="T8:U8"/>
    <mergeCell ref="X8:Y8"/>
    <mergeCell ref="G9:H9"/>
    <mergeCell ref="M9:N9"/>
    <mergeCell ref="Q9:R9"/>
    <mergeCell ref="T9:U9"/>
    <mergeCell ref="X9:Y9"/>
    <mergeCell ref="G10:H10"/>
    <mergeCell ref="M10:N10"/>
    <mergeCell ref="Q10:R10"/>
    <mergeCell ref="T10:U10"/>
    <mergeCell ref="X10:Y10"/>
    <mergeCell ref="G32:G34"/>
    <mergeCell ref="H32:H34"/>
    <mergeCell ref="K32:K34"/>
    <mergeCell ref="L32:L34"/>
    <mergeCell ref="Q1:W2"/>
    <mergeCell ref="X1:Y1"/>
    <mergeCell ref="Y2:Z2"/>
    <mergeCell ref="X3:Y3"/>
    <mergeCell ref="G4:K4"/>
    <mergeCell ref="M4:R4"/>
    <mergeCell ref="T4:Y4"/>
    <mergeCell ref="G5:H5"/>
    <mergeCell ref="M5:N5"/>
    <mergeCell ref="Q5:R5"/>
    <mergeCell ref="T5:U5"/>
    <mergeCell ref="X5:Y5"/>
    <mergeCell ref="G7:H7"/>
    <mergeCell ref="M7:N7"/>
    <mergeCell ref="Q7:R7"/>
    <mergeCell ref="T7:U7"/>
    <mergeCell ref="X7:Y7"/>
    <mergeCell ref="G8:H8"/>
    <mergeCell ref="M8:N8"/>
    <mergeCell ref="Q8:R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16F0FE09FED14CAC745B893B698B91" ma:contentTypeVersion="11" ma:contentTypeDescription="Create a new document." ma:contentTypeScope="" ma:versionID="b9ef4c8474dfc2eeb0fe15b33e9fd3bd">
  <xsd:schema xmlns:xsd="http://www.w3.org/2001/XMLSchema" xmlns:xs="http://www.w3.org/2001/XMLSchema" xmlns:p="http://schemas.microsoft.com/office/2006/metadata/properties" xmlns:ns3="e846424d-971f-417e-a672-eeef197fdeea" xmlns:ns4="4d6c05ab-684b-4ac8-baa0-1b769b6a6526" targetNamespace="http://schemas.microsoft.com/office/2006/metadata/properties" ma:root="true" ma:fieldsID="ff443d898890fbc3851ae693e99f2c55" ns3:_="" ns4:_="">
    <xsd:import namespace="e846424d-971f-417e-a672-eeef197fdeea"/>
    <xsd:import namespace="4d6c05ab-684b-4ac8-baa0-1b769b6a652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6424d-971f-417e-a672-eeef197fdee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6c05ab-684b-4ac8-baa0-1b769b6a6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A47C25-3B8F-4470-9B41-B7C72441F1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46424d-971f-417e-a672-eeef197fdeea"/>
    <ds:schemaRef ds:uri="4d6c05ab-684b-4ac8-baa0-1b769b6a65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1F86D1-9A39-424D-AC55-DFD5643A255A}">
  <ds:schemaRefs>
    <ds:schemaRef ds:uri="http://www.w3.org/XML/1998/namespace"/>
    <ds:schemaRef ds:uri="e846424d-971f-417e-a672-eeef197fdeea"/>
    <ds:schemaRef ds:uri="http://schemas.microsoft.com/office/2006/documentManagement/types"/>
    <ds:schemaRef ds:uri="4d6c05ab-684b-4ac8-baa0-1b769b6a6526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ED33714-B2C9-4C45-8B69-999C2DDB8B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Count Sheet </vt:lpstr>
      <vt:lpstr>Production Guide</vt:lpstr>
      <vt:lpstr>2 Prep Cooks</vt:lpstr>
      <vt:lpstr>3 Prep Cooks</vt:lpstr>
      <vt:lpstr>4 Prep Cooks</vt:lpstr>
      <vt:lpstr>5 Prep Cooks </vt:lpstr>
      <vt:lpstr>All Data</vt:lpstr>
      <vt:lpstr>Future</vt:lpstr>
      <vt:lpstr>'2 Prep Cooks'!Print_Area</vt:lpstr>
      <vt:lpstr>'3 Prep Cooks'!Print_Area</vt:lpstr>
      <vt:lpstr>'4 Prep Cooks'!Print_Area</vt:lpstr>
      <vt:lpstr>'5 Prep Cooks '!Print_Area</vt:lpstr>
      <vt:lpstr>'Count Sheet '!Print_Area</vt:lpstr>
      <vt:lpstr>'Production Guide'!Print_Area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 Long</dc:creator>
  <cp:keywords/>
  <dc:description/>
  <cp:lastModifiedBy>Bryan Rosewell</cp:lastModifiedBy>
  <cp:revision/>
  <cp:lastPrinted>2025-06-20T20:10:38Z</cp:lastPrinted>
  <dcterms:created xsi:type="dcterms:W3CDTF">2016-05-17T14:13:10Z</dcterms:created>
  <dcterms:modified xsi:type="dcterms:W3CDTF">2025-07-19T13:33:11Z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0x010100DB16F0FE09FED14CAC745B893B698B91</vt:lpwstr>
  </property>
</Properties>
</file>