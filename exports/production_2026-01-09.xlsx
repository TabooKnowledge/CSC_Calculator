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5000" tabRatio="600" firstSheet="1" activeTab="1" autoFilterDateGrouping="1"/>
  </bookViews>
  <sheets>
    <sheet name="Count Sheet " sheetId="1" state="visible" r:id="rId1"/>
    <sheet name="Production Guide" sheetId="2" state="visible" r:id="rId2"/>
    <sheet name="2 Prep Cooks" sheetId="3" state="visible" r:id="rId3"/>
    <sheet name="3 Prep Cooks" sheetId="4" state="visible" r:id="rId4"/>
    <sheet name="4 Prep Cooks" sheetId="5" state="visible" r:id="rId5"/>
    <sheet name="5 Prep Cooks " sheetId="6" state="visible" r:id="rId6"/>
    <sheet name="All Data" sheetId="7" state="hidden" r:id="rId7"/>
    <sheet name="Future" sheetId="8" state="hidden" r:id="rId8"/>
  </sheets>
  <definedNames>
    <definedName name="_xlnm.Print_Area" localSheetId="0">'Count Sheet '!$A$1:$M$33</definedName>
    <definedName name="_xlnm.Print_Area" localSheetId="1">'Production Guide'!$A$1:$T$44</definedName>
    <definedName name="_xlnm.Print_Area" localSheetId="2">'2 Prep Cooks'!$A$1:$H$42</definedName>
    <definedName name="_xlnm.Print_Area" localSheetId="3">'3 Prep Cooks'!$A$4:$H$43</definedName>
    <definedName name="_xlnm.Print_Area" localSheetId="4">'4 Prep Cooks'!$A$1:$H$42</definedName>
    <definedName name="_xlnm.Print_Area" localSheetId="5">'5 Prep Cooks '!$A$1:$H$43</definedName>
  </definedNames>
  <calcPr calcId="18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_(&quot;$&quot;* #,##0.00_);_(&quot;$&quot;* \(#,##0.00\);_(&quot;$&quot;* &quot;-&quot;??_);_(@_)"/>
    <numFmt numFmtId="166" formatCode="&quot;$&quot;#,##0.00"/>
    <numFmt numFmtId="167" formatCode="0.000"/>
  </numFmts>
  <fonts count="2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Lifehack"/>
      <family val="3"/>
      <color theme="1"/>
      <sz val="12"/>
    </font>
    <font>
      <name val="Lifehack"/>
      <family val="3"/>
      <color theme="1"/>
      <sz val="11"/>
    </font>
    <font>
      <name val="Lifehack"/>
      <family val="3"/>
      <color theme="1"/>
      <sz val="10"/>
    </font>
    <font>
      <name val="Gotham "/>
      <color theme="1"/>
      <sz val="9"/>
    </font>
    <font>
      <name val="Lifehack"/>
      <family val="3"/>
      <color theme="1"/>
      <sz val="14"/>
    </font>
    <font>
      <name val="Calibri "/>
      <color theme="1"/>
      <sz val="14"/>
    </font>
    <font>
      <name val="Arial"/>
      <family val="2"/>
      <b val="1"/>
      <sz val="10"/>
    </font>
    <font>
      <name val="Arial"/>
      <family val="2"/>
      <sz val="14"/>
    </font>
    <font>
      <name val="Arial"/>
      <family val="2"/>
      <sz val="10"/>
    </font>
    <font>
      <name val="Arial"/>
      <family val="2"/>
      <sz val="11"/>
    </font>
    <font>
      <name val="Calibri "/>
      <sz val="11"/>
    </font>
    <font>
      <name val="Calibri "/>
      <b val="1"/>
      <sz val="11"/>
    </font>
    <font>
      <name val="Lifehack"/>
      <family val="3"/>
      <color theme="1"/>
      <sz val="18"/>
    </font>
    <font>
      <name val="Lifehack"/>
      <family val="3"/>
      <color theme="1"/>
      <sz val="22"/>
    </font>
    <font>
      <name val="Calibri"/>
      <family val="2"/>
      <color theme="1"/>
      <sz val="10"/>
      <scheme val="minor"/>
    </font>
    <font>
      <name val="Calibri"/>
      <family val="2"/>
      <b val="1"/>
      <sz val="11"/>
      <scheme val="minor"/>
    </font>
    <font>
      <name val="Arial"/>
      <family val="2"/>
      <b val="1"/>
      <color rgb="FF000000"/>
      <sz val="14"/>
    </font>
    <font>
      <name val="Arial"/>
      <family val="2"/>
      <color rgb="FF000000"/>
      <sz val="14"/>
    </font>
    <font>
      <name val="Calibri"/>
      <family val="2"/>
      <color theme="1"/>
      <sz val="9"/>
      <scheme val="minor"/>
    </font>
    <font>
      <name val="Calibri"/>
      <family val="2"/>
      <color theme="1"/>
      <sz val="9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4"/>
      <scheme val="minor"/>
    </font>
    <font>
      <name val="Calibri  "/>
      <color theme="1"/>
      <sz val="11"/>
    </font>
    <font>
      <name val="Calibri"/>
      <family val="2"/>
      <b val="1"/>
      <color theme="1"/>
      <sz val="12"/>
      <scheme val="minor"/>
    </font>
  </fonts>
  <fills count="15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C384C"/>
        <bgColor indexed="64"/>
      </patternFill>
    </fill>
    <fill>
      <patternFill patternType="solid">
        <fgColor theme="2" tint="-0.249977111117893"/>
        <bgColor indexed="64"/>
      </patternFill>
    </fill>
  </fills>
  <borders count="9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2" fillId="0" borderId="0"/>
    <xf numFmtId="44" fontId="2" fillId="0" borderId="0"/>
  </cellStyleXfs>
  <cellXfs count="460">
    <xf numFmtId="0" fontId="0" fillId="0" borderId="0" pivotButton="0" quotePrefix="0" xfId="0"/>
    <xf numFmtId="0" fontId="0" fillId="0" borderId="2" pivotButton="0" quotePrefix="0" xfId="0"/>
    <xf numFmtId="0" fontId="1" fillId="0" borderId="0" applyAlignment="1" pivotButton="0" quotePrefix="0" xfId="0">
      <alignment horizontal="center"/>
    </xf>
    <xf numFmtId="0" fontId="0" fillId="0" borderId="3" pivotButton="0" quotePrefix="0" xfId="0"/>
    <xf numFmtId="0" fontId="0" fillId="4" borderId="2" applyAlignment="1" pivotButton="0" quotePrefix="0" xfId="0">
      <alignment horizontal="left"/>
    </xf>
    <xf numFmtId="0" fontId="0" fillId="4" borderId="2" pivotButton="0" quotePrefix="0" xfId="0"/>
    <xf numFmtId="164" fontId="0" fillId="0" borderId="3" pivotButton="0" quotePrefix="0" xfId="0"/>
    <xf numFmtId="1" fontId="0" fillId="0" borderId="2" pivotButton="0" quotePrefix="0" xfId="0"/>
    <xf numFmtId="0" fontId="3" fillId="0" borderId="0" applyAlignment="1" pivotButton="0" quotePrefix="0" xfId="0">
      <alignment vertical="center" wrapText="1"/>
    </xf>
    <xf numFmtId="164" fontId="0" fillId="0" borderId="16" pivotButton="0" quotePrefix="0" xfId="0"/>
    <xf numFmtId="0" fontId="0" fillId="0" borderId="23" pivotButton="0" quotePrefix="0" xfId="0"/>
    <xf numFmtId="0" fontId="0" fillId="3" borderId="19" pivotButton="0" quotePrefix="0" xfId="0"/>
    <xf numFmtId="1" fontId="0" fillId="0" borderId="23" pivotButton="0" quotePrefix="0" xfId="0"/>
    <xf numFmtId="0" fontId="1" fillId="2" borderId="17" pivotButton="0" quotePrefix="0" xfId="0"/>
    <xf numFmtId="0" fontId="0" fillId="0" borderId="30" pivotButton="0" quotePrefix="0" xfId="0"/>
    <xf numFmtId="0" fontId="0" fillId="0" borderId="13" pivotButton="0" quotePrefix="0" xfId="0"/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1" fontId="0" fillId="0" borderId="0" pivotButton="0" quotePrefix="0" xfId="0"/>
    <xf numFmtId="0" fontId="1" fillId="2" borderId="34" pivotButton="0" quotePrefix="0" xfId="0"/>
    <xf numFmtId="0" fontId="8" fillId="0" borderId="0" pivotButton="0" quotePrefix="0" xfId="0"/>
    <xf numFmtId="165" fontId="1" fillId="0" borderId="0" pivotButton="0" quotePrefix="0" xfId="1"/>
    <xf numFmtId="165" fontId="1" fillId="4" borderId="1" applyAlignment="1" pivotButton="0" quotePrefix="0" xfId="1">
      <alignment vertical="center"/>
    </xf>
    <xf numFmtId="1" fontId="11" fillId="0" borderId="0" applyAlignment="1" pivotButton="0" quotePrefix="0" xfId="0">
      <alignment horizontal="center"/>
    </xf>
    <xf numFmtId="0" fontId="11" fillId="0" borderId="0" pivotButton="0" quotePrefix="0" xfId="0"/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vertical="center" wrapText="1"/>
    </xf>
    <xf numFmtId="165" fontId="0" fillId="0" borderId="0" pivotButton="0" quotePrefix="0" xfId="0"/>
    <xf numFmtId="0" fontId="0" fillId="0" borderId="26" pivotButton="0" quotePrefix="0" xfId="0"/>
    <xf numFmtId="0" fontId="0" fillId="0" borderId="10" pivotButton="0" quotePrefix="0" xfId="0"/>
    <xf numFmtId="0" fontId="0" fillId="0" borderId="40" pivotButton="0" quotePrefix="0" xfId="0"/>
    <xf numFmtId="0" fontId="0" fillId="0" borderId="11" pivotButton="0" quotePrefix="0" xfId="0"/>
    <xf numFmtId="0" fontId="0" fillId="0" borderId="41" pivotButton="0" quotePrefix="0" xfId="0"/>
    <xf numFmtId="0" fontId="1" fillId="0" borderId="41" pivotButton="0" quotePrefix="0" xfId="0"/>
    <xf numFmtId="0" fontId="0" fillId="0" borderId="27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13" fillId="0" borderId="7" applyAlignment="1" pivotButton="0" quotePrefix="0" xfId="0">
      <alignment horizontal="left" vertical="center" wrapText="1"/>
    </xf>
    <xf numFmtId="0" fontId="13" fillId="0" borderId="20" applyAlignment="1" pivotButton="0" quotePrefix="0" xfId="0">
      <alignment horizontal="left" vertical="center" wrapText="1"/>
    </xf>
    <xf numFmtId="1" fontId="13" fillId="0" borderId="14" applyAlignment="1" pivotButton="0" quotePrefix="0" xfId="0">
      <alignment horizontal="left"/>
    </xf>
    <xf numFmtId="1" fontId="12" fillId="0" borderId="34" applyAlignment="1" pivotButton="0" quotePrefix="0" xfId="0">
      <alignment horizontal="center" vertical="center" wrapText="1"/>
    </xf>
    <xf numFmtId="1" fontId="12" fillId="0" borderId="21" applyAlignment="1" pivotButton="0" quotePrefix="0" xfId="0">
      <alignment horizontal="center" vertical="center" wrapText="1"/>
    </xf>
    <xf numFmtId="1" fontId="12" fillId="0" borderId="4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2" pivotButton="0" quotePrefix="0" xfId="0"/>
    <xf numFmtId="1" fontId="11" fillId="0" borderId="0" applyAlignment="1" pivotButton="0" quotePrefix="0" xfId="0">
      <alignment horizontal="left"/>
    </xf>
    <xf numFmtId="0" fontId="1" fillId="8" borderId="1" pivotButton="0" quotePrefix="0" xfId="0"/>
    <xf numFmtId="0" fontId="1" fillId="8" borderId="4" pivotButton="0" quotePrefix="0" xfId="0"/>
    <xf numFmtId="0" fontId="1" fillId="8" borderId="6" pivotButton="0" quotePrefix="0" xfId="0"/>
    <xf numFmtId="0" fontId="1" fillId="8" borderId="39" pivotButton="0" quotePrefix="0" xfId="0"/>
    <xf numFmtId="0" fontId="10" fillId="8" borderId="4" applyAlignment="1" pivotButton="0" quotePrefix="0" xfId="0">
      <alignment vertical="center" wrapText="1"/>
    </xf>
    <xf numFmtId="1" fontId="0" fillId="0" borderId="27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1" fillId="0" borderId="25" applyAlignment="1" pivotButton="0" quotePrefix="0" xfId="0">
      <alignment horizontal="center"/>
    </xf>
    <xf numFmtId="0" fontId="1" fillId="0" borderId="20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0" fontId="0" fillId="0" borderId="16" pivotButton="0" quotePrefix="0" xfId="0"/>
    <xf numFmtId="0" fontId="0" fillId="0" borderId="12" pivotButton="0" quotePrefix="0" xfId="0"/>
    <xf numFmtId="0" fontId="1" fillId="0" borderId="0" applyAlignment="1" pivotButton="0" quotePrefix="0" xfId="0">
      <alignment horizontal="left"/>
    </xf>
    <xf numFmtId="0" fontId="0" fillId="0" borderId="3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165" fontId="1" fillId="4" borderId="1" applyProtection="1" pivotButton="0" quotePrefix="0" xfId="1">
      <protection locked="0" hidden="0"/>
    </xf>
    <xf numFmtId="1" fontId="12" fillId="0" borderId="24" applyAlignment="1" pivotButton="0" quotePrefix="0" xfId="0">
      <alignment horizontal="center" vertical="center" wrapText="1"/>
    </xf>
    <xf numFmtId="1" fontId="13" fillId="0" borderId="22" applyAlignment="1" pivotButton="0" quotePrefix="0" xfId="0">
      <alignment horizontal="left"/>
    </xf>
    <xf numFmtId="0" fontId="10" fillId="0" borderId="0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/>
    </xf>
    <xf numFmtId="0" fontId="0" fillId="0" borderId="46" pivotButton="0" quotePrefix="0" xfId="0"/>
    <xf numFmtId="0" fontId="0" fillId="0" borderId="14" pivotButton="0" quotePrefix="0" xfId="0"/>
    <xf numFmtId="0" fontId="0" fillId="0" borderId="5" pivotButton="0" quotePrefix="0" xfId="0"/>
    <xf numFmtId="0" fontId="0" fillId="0" borderId="19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1" fontId="12" fillId="0" borderId="27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8" pivotButton="0" quotePrefix="0" xfId="0"/>
    <xf numFmtId="0" fontId="0" fillId="0" borderId="0" applyAlignment="1" pivotButton="0" quotePrefix="0" xfId="0">
      <alignment vertical="top" wrapText="1"/>
    </xf>
    <xf numFmtId="0" fontId="0" fillId="0" borderId="32" pivotButton="0" quotePrefix="0" xfId="0"/>
    <xf numFmtId="1" fontId="15" fillId="8" borderId="4" applyAlignment="1" pivotButton="0" quotePrefix="0" xfId="0">
      <alignment horizontal="left"/>
    </xf>
    <xf numFmtId="1" fontId="14" fillId="0" borderId="45" applyAlignment="1" pivotButton="0" quotePrefix="0" xfId="0">
      <alignment horizontal="left"/>
    </xf>
    <xf numFmtId="1" fontId="14" fillId="0" borderId="30" applyAlignment="1" pivotButton="0" quotePrefix="0" xfId="0">
      <alignment horizontal="left"/>
    </xf>
    <xf numFmtId="1" fontId="14" fillId="0" borderId="48" applyAlignment="1" pivotButton="0" quotePrefix="0" xfId="0">
      <alignment horizontal="left"/>
    </xf>
    <xf numFmtId="1" fontId="12" fillId="0" borderId="0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165" fontId="1" fillId="0" borderId="0" pivotButton="0" quotePrefix="0" xfId="0"/>
    <xf numFmtId="1" fontId="0" fillId="0" borderId="36" applyAlignment="1" pivotButton="0" quotePrefix="0" xfId="0">
      <alignment horizontal="center"/>
    </xf>
    <xf numFmtId="0" fontId="0" fillId="0" borderId="21" pivotButton="0" quotePrefix="0" xfId="0"/>
    <xf numFmtId="0" fontId="10" fillId="0" borderId="14" applyAlignment="1" pivotButton="0" quotePrefix="0" xfId="0">
      <alignment horizontal="center"/>
    </xf>
    <xf numFmtId="0" fontId="1" fillId="8" borderId="4" applyAlignment="1" pivotButton="0" quotePrefix="0" xfId="0">
      <alignment vertical="center"/>
    </xf>
    <xf numFmtId="1" fontId="12" fillId="0" borderId="0" applyAlignment="1" pivotButton="0" quotePrefix="0" xfId="0">
      <alignment horizontal="center"/>
    </xf>
    <xf numFmtId="0" fontId="0" fillId="0" borderId="31" pivotButton="0" quotePrefix="0" xfId="0"/>
    <xf numFmtId="0" fontId="0" fillId="0" borderId="42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166" fontId="0" fillId="0" borderId="0" pivotButton="0" quotePrefix="0" xfId="0"/>
    <xf numFmtId="164" fontId="0" fillId="0" borderId="0" pivotButton="0" quotePrefix="0" xfId="0"/>
    <xf numFmtId="0" fontId="0" fillId="4" borderId="3" applyAlignment="1" applyProtection="1" pivotButton="0" quotePrefix="0" xfId="0">
      <alignment horizontal="center"/>
      <protection locked="0" hidden="0"/>
    </xf>
    <xf numFmtId="0" fontId="1" fillId="8" borderId="26" applyAlignment="1" pivotButton="0" quotePrefix="0" xfId="0">
      <alignment horizontal="center"/>
    </xf>
    <xf numFmtId="0" fontId="1" fillId="8" borderId="3" applyAlignment="1" pivotButton="0" quotePrefix="0" xfId="0">
      <alignment horizontal="center"/>
    </xf>
    <xf numFmtId="0" fontId="1" fillId="8" borderId="2" applyAlignment="1" pivotButton="0" quotePrefix="0" xfId="0">
      <alignment horizontal="center"/>
    </xf>
    <xf numFmtId="0" fontId="1" fillId="8" borderId="23" applyAlignment="1" pivotButton="0" quotePrefix="0" xfId="0">
      <alignment horizontal="center"/>
    </xf>
    <xf numFmtId="0" fontId="0" fillId="8" borderId="30" applyAlignment="1" pivotButton="0" quotePrefix="0" xfId="0">
      <alignment horizontal="center"/>
    </xf>
    <xf numFmtId="0" fontId="0" fillId="8" borderId="20" applyAlignment="1" pivotButton="0" quotePrefix="0" xfId="0">
      <alignment horizontal="center"/>
    </xf>
    <xf numFmtId="0" fontId="1" fillId="8" borderId="28" pivotButton="0" quotePrefix="0" xfId="0"/>
    <xf numFmtId="0" fontId="0" fillId="0" borderId="51" applyAlignment="1" pivotButton="0" quotePrefix="0" xfId="0">
      <alignment horizontal="center"/>
    </xf>
    <xf numFmtId="0" fontId="0" fillId="0" borderId="52" applyAlignment="1" pivotButton="0" quotePrefix="0" xfId="0">
      <alignment horizontal="center"/>
    </xf>
    <xf numFmtId="0" fontId="1" fillId="8" borderId="5" pivotButton="0" quotePrefix="0" xfId="0"/>
    <xf numFmtId="0" fontId="1" fillId="8" borderId="29" pivotButton="0" quotePrefix="0" xfId="0"/>
    <xf numFmtId="0" fontId="1" fillId="8" borderId="17" pivotButton="0" quotePrefix="0" xfId="0"/>
    <xf numFmtId="0" fontId="1" fillId="8" borderId="53" pivotButton="0" quotePrefix="0" xfId="0"/>
    <xf numFmtId="0" fontId="1" fillId="8" borderId="17" applyAlignment="1" pivotButton="0" quotePrefix="0" xfId="0">
      <alignment horizontal="center"/>
    </xf>
    <xf numFmtId="0" fontId="19" fillId="8" borderId="53" pivotButton="0" quotePrefix="0" xfId="0"/>
    <xf numFmtId="0" fontId="1" fillId="8" borderId="49" applyAlignment="1" pivotButton="0" quotePrefix="0" xfId="0">
      <alignment horizontal="center"/>
    </xf>
    <xf numFmtId="0" fontId="1" fillId="8" borderId="31" applyAlignment="1" pivotButton="0" quotePrefix="0" xfId="0">
      <alignment horizontal="center"/>
    </xf>
    <xf numFmtId="0" fontId="20" fillId="10" borderId="56" applyAlignment="1" pivotButton="0" quotePrefix="0" xfId="0">
      <alignment horizontal="left" vertical="center" wrapText="1"/>
    </xf>
    <xf numFmtId="0" fontId="20" fillId="10" borderId="57" applyAlignment="1" pivotButton="0" quotePrefix="0" xfId="0">
      <alignment horizontal="left" vertical="center" wrapText="1"/>
    </xf>
    <xf numFmtId="0" fontId="21" fillId="11" borderId="55" applyAlignment="1" pivotButton="0" quotePrefix="0" xfId="0">
      <alignment horizontal="center" vertical="center" wrapText="1"/>
    </xf>
    <xf numFmtId="0" fontId="21" fillId="12" borderId="58" applyAlignment="1" pivotButton="0" quotePrefix="0" xfId="0">
      <alignment horizontal="center" vertical="center" wrapText="1"/>
    </xf>
    <xf numFmtId="0" fontId="21" fillId="11" borderId="58" applyAlignment="1" pivotButton="0" quotePrefix="0" xfId="0">
      <alignment horizontal="center" vertical="center" wrapText="1"/>
    </xf>
    <xf numFmtId="0" fontId="21" fillId="0" borderId="58" applyAlignment="1" pivotButton="0" quotePrefix="0" xfId="0">
      <alignment horizontal="center" vertical="center" wrapText="1"/>
    </xf>
    <xf numFmtId="0" fontId="20" fillId="10" borderId="58" applyAlignment="1" pivotButton="0" quotePrefix="0" xfId="0">
      <alignment horizontal="left" vertical="center" wrapText="1"/>
    </xf>
    <xf numFmtId="0" fontId="0" fillId="10" borderId="61" applyAlignment="1" pivotButton="0" quotePrefix="0" xfId="0">
      <alignment vertical="top" wrapText="1"/>
    </xf>
    <xf numFmtId="0" fontId="21" fillId="11" borderId="55" applyAlignment="1" pivotButton="0" quotePrefix="0" xfId="0">
      <alignment horizontal="left" vertical="center" wrapText="1"/>
    </xf>
    <xf numFmtId="0" fontId="21" fillId="11" borderId="62" applyAlignment="1" pivotButton="0" quotePrefix="0" xfId="0">
      <alignment horizontal="center" vertical="center" wrapText="1"/>
    </xf>
    <xf numFmtId="0" fontId="21" fillId="12" borderId="58" applyAlignment="1" pivotButton="0" quotePrefix="0" xfId="0">
      <alignment horizontal="left" vertical="center" wrapText="1"/>
    </xf>
    <xf numFmtId="0" fontId="21" fillId="12" borderId="59" applyAlignment="1" pivotButton="0" quotePrefix="0" xfId="0">
      <alignment horizontal="center" vertical="center" wrapText="1"/>
    </xf>
    <xf numFmtId="0" fontId="21" fillId="11" borderId="58" applyAlignment="1" pivotButton="0" quotePrefix="0" xfId="0">
      <alignment horizontal="left" vertical="center" wrapText="1"/>
    </xf>
    <xf numFmtId="0" fontId="21" fillId="11" borderId="59" applyAlignment="1" pivotButton="0" quotePrefix="0" xfId="0">
      <alignment horizontal="center" vertical="center" wrapText="1"/>
    </xf>
    <xf numFmtId="0" fontId="21" fillId="0" borderId="58" applyAlignment="1" pivotButton="0" quotePrefix="0" xfId="0">
      <alignment horizontal="left" vertical="center" wrapText="1"/>
    </xf>
    <xf numFmtId="0" fontId="21" fillId="0" borderId="59" applyAlignment="1" pivotButton="0" quotePrefix="0" xfId="0">
      <alignment horizontal="center" vertical="center" wrapText="1"/>
    </xf>
    <xf numFmtId="0" fontId="21" fillId="12" borderId="63" applyAlignment="1" pivotButton="0" quotePrefix="0" xfId="0">
      <alignment horizontal="left" vertical="center" wrapText="1"/>
    </xf>
    <xf numFmtId="0" fontId="21" fillId="12" borderId="63" applyAlignment="1" pivotButton="0" quotePrefix="0" xfId="0">
      <alignment horizontal="center" vertical="center" wrapText="1"/>
    </xf>
    <xf numFmtId="0" fontId="21" fillId="12" borderId="64" applyAlignment="1" pivotButton="0" quotePrefix="0" xfId="0">
      <alignment horizontal="center" vertical="center" wrapText="1"/>
    </xf>
    <xf numFmtId="0" fontId="0" fillId="0" borderId="49" pivotButton="0" quotePrefix="0" xfId="0"/>
    <xf numFmtId="0" fontId="0" fillId="13" borderId="50" applyAlignment="1" pivotButton="0" quotePrefix="0" xfId="0">
      <alignment horizontal="center"/>
    </xf>
    <xf numFmtId="0" fontId="0" fillId="13" borderId="25" applyAlignment="1" pivotButton="0" quotePrefix="0" xfId="0">
      <alignment horizontal="center"/>
    </xf>
    <xf numFmtId="0" fontId="0" fillId="13" borderId="51" applyAlignment="1" pivotButton="0" quotePrefix="0" xfId="0">
      <alignment horizontal="center"/>
    </xf>
    <xf numFmtId="0" fontId="0" fillId="13" borderId="20" applyAlignment="1" pivotButton="0" quotePrefix="0" xfId="0">
      <alignment horizontal="center"/>
    </xf>
    <xf numFmtId="0" fontId="0" fillId="13" borderId="18" applyAlignment="1" pivotButton="0" quotePrefix="0" xfId="0">
      <alignment horizontal="center"/>
    </xf>
    <xf numFmtId="0" fontId="0" fillId="13" borderId="54" applyAlignment="1" pivotButton="0" quotePrefix="0" xfId="0">
      <alignment horizontal="center"/>
    </xf>
    <xf numFmtId="0" fontId="22" fillId="0" borderId="0" pivotButton="0" quotePrefix="0" xfId="0"/>
    <xf numFmtId="0" fontId="0" fillId="13" borderId="52" applyAlignment="1" pivotButton="0" quotePrefix="0" xfId="0">
      <alignment horizontal="center"/>
    </xf>
    <xf numFmtId="0" fontId="0" fillId="13" borderId="47" applyAlignment="1" pivotButton="0" quotePrefix="0" xfId="0">
      <alignment horizontal="center"/>
    </xf>
    <xf numFmtId="0" fontId="0" fillId="0" borderId="65" applyAlignment="1" pivotButton="0" quotePrefix="0" xfId="0">
      <alignment horizontal="center"/>
    </xf>
    <xf numFmtId="0" fontId="0" fillId="13" borderId="66" applyAlignment="1" pivotButton="0" quotePrefix="0" xfId="0">
      <alignment horizontal="center"/>
    </xf>
    <xf numFmtId="0" fontId="1" fillId="8" borderId="67" applyAlignment="1" pivotButton="0" quotePrefix="0" xfId="0">
      <alignment horizontal="center"/>
    </xf>
    <xf numFmtId="0" fontId="0" fillId="0" borderId="68" pivotButton="0" quotePrefix="0" xfId="0"/>
    <xf numFmtId="0" fontId="0" fillId="0" borderId="69" applyAlignment="1" pivotButton="0" quotePrefix="0" xfId="0">
      <alignment horizontal="center"/>
    </xf>
    <xf numFmtId="0" fontId="0" fillId="0" borderId="70" applyAlignment="1" pivotButton="0" quotePrefix="0" xfId="0">
      <alignment horizontal="center"/>
    </xf>
    <xf numFmtId="0" fontId="0" fillId="13" borderId="65" applyAlignment="1" pivotButton="0" quotePrefix="0" xfId="0">
      <alignment horizontal="center"/>
    </xf>
    <xf numFmtId="0" fontId="0" fillId="13" borderId="71" applyAlignment="1" pivotButton="0" quotePrefix="0" xfId="0">
      <alignment horizontal="center"/>
    </xf>
    <xf numFmtId="0" fontId="0" fillId="0" borderId="72" applyAlignment="1" pivotButton="0" quotePrefix="0" xfId="0">
      <alignment horizontal="center"/>
    </xf>
    <xf numFmtId="0" fontId="0" fillId="0" borderId="66" applyAlignment="1" pivotButton="0" quotePrefix="0" xfId="0">
      <alignment horizontal="center"/>
    </xf>
    <xf numFmtId="0" fontId="0" fillId="13" borderId="72" applyAlignment="1" pivotButton="0" quotePrefix="0" xfId="0">
      <alignment horizontal="center"/>
    </xf>
    <xf numFmtId="0" fontId="0" fillId="0" borderId="73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2" fillId="0" borderId="0" applyAlignment="1" pivotButton="0" quotePrefix="0" xfId="0">
      <alignment wrapText="1"/>
    </xf>
    <xf numFmtId="0" fontId="0" fillId="0" borderId="24" pivotButton="0" quotePrefix="0" xfId="0"/>
    <xf numFmtId="0" fontId="1" fillId="2" borderId="75" pivotButton="0" quotePrefix="0" xfId="0"/>
    <xf numFmtId="0" fontId="1" fillId="0" borderId="2" applyAlignment="1" pivotButton="0" quotePrefix="0" xfId="0">
      <alignment horizontal="center"/>
    </xf>
    <xf numFmtId="0" fontId="1" fillId="0" borderId="2" pivotButton="0" quotePrefix="0" xfId="0"/>
    <xf numFmtId="0" fontId="1" fillId="2" borderId="29" applyAlignment="1" pivotButton="0" quotePrefix="0" xfId="0">
      <alignment vertical="center"/>
    </xf>
    <xf numFmtId="0" fontId="0" fillId="0" borderId="54" applyAlignment="1" pivotButton="0" quotePrefix="0" xfId="0">
      <alignment horizontal="center"/>
    </xf>
    <xf numFmtId="0" fontId="1" fillId="0" borderId="18" pivotButton="0" quotePrefix="0" xfId="0"/>
    <xf numFmtId="0" fontId="1" fillId="4" borderId="2" pivotButton="0" quotePrefix="0" xfId="0"/>
    <xf numFmtId="0" fontId="0" fillId="0" borderId="77" pivotButton="0" quotePrefix="0" xfId="0"/>
    <xf numFmtId="0" fontId="0" fillId="3" borderId="24" pivotButton="0" quotePrefix="0" xfId="0"/>
    <xf numFmtId="0" fontId="0" fillId="0" borderId="0" applyAlignment="1" pivotButton="0" quotePrefix="0" xfId="0">
      <alignment horizontal="center"/>
    </xf>
    <xf numFmtId="167" fontId="24" fillId="0" borderId="0" pivotButton="0" quotePrefix="0" xfId="0"/>
    <xf numFmtId="0" fontId="24" fillId="0" borderId="0" pivotButton="0" quotePrefix="0" xfId="0"/>
    <xf numFmtId="0" fontId="19" fillId="0" borderId="0" pivotButton="0" quotePrefix="0" xfId="0"/>
    <xf numFmtId="0" fontId="25" fillId="0" borderId="0" pivotButton="0" quotePrefix="0" xfId="0"/>
    <xf numFmtId="167" fontId="25" fillId="0" borderId="0" pivotButton="0" quotePrefix="0" xfId="0"/>
    <xf numFmtId="0" fontId="25" fillId="0" borderId="0" applyAlignment="1" pivotButton="0" quotePrefix="0" xfId="0">
      <alignment horizontal="center"/>
    </xf>
    <xf numFmtId="0" fontId="19" fillId="14" borderId="1" pivotButton="0" quotePrefix="0" xfId="0"/>
    <xf numFmtId="0" fontId="25" fillId="0" borderId="1" pivotButton="0" quotePrefix="0" xfId="0"/>
    <xf numFmtId="167" fontId="25" fillId="0" borderId="1" pivotButton="0" quotePrefix="0" xfId="0"/>
    <xf numFmtId="167" fontId="25" fillId="0" borderId="38" pivotButton="0" quotePrefix="0" xfId="0"/>
    <xf numFmtId="0" fontId="25" fillId="0" borderId="38" pivotButton="0" quotePrefix="0" xfId="0"/>
    <xf numFmtId="0" fontId="25" fillId="14" borderId="6" pivotButton="0" quotePrefix="0" xfId="0"/>
    <xf numFmtId="0" fontId="0" fillId="0" borderId="76" pivotButton="0" quotePrefix="0" xfId="0"/>
    <xf numFmtId="0" fontId="25" fillId="14" borderId="1" pivotButton="0" quotePrefix="0" xfId="0"/>
    <xf numFmtId="0" fontId="0" fillId="0" borderId="47" applyAlignment="1" pivotButton="0" quotePrefix="0" xfId="0">
      <alignment horizontal="center"/>
    </xf>
    <xf numFmtId="0" fontId="0" fillId="0" borderId="9" pivotButton="0" quotePrefix="0" xfId="0"/>
    <xf numFmtId="0" fontId="0" fillId="0" borderId="78" applyAlignment="1" pivotButton="0" quotePrefix="0" xfId="0">
      <alignment horizontal="center"/>
    </xf>
    <xf numFmtId="0" fontId="0" fillId="3" borderId="21" pivotButton="0" quotePrefix="0" xfId="0"/>
    <xf numFmtId="0" fontId="3" fillId="0" borderId="14" applyAlignment="1" pivotButton="0" quotePrefix="0" xfId="0">
      <alignment vertical="center" wrapText="1"/>
    </xf>
    <xf numFmtId="0" fontId="25" fillId="0" borderId="4" pivotButton="0" quotePrefix="0" xfId="0"/>
    <xf numFmtId="0" fontId="25" fillId="0" borderId="14" pivotButton="0" quotePrefix="0" xfId="0"/>
    <xf numFmtId="0" fontId="0" fillId="0" borderId="12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80" applyAlignment="1" pivotButton="0" quotePrefix="0" xfId="0">
      <alignment horizontal="center"/>
    </xf>
    <xf numFmtId="0" fontId="0" fillId="0" borderId="79" pivotButton="0" quotePrefix="0" xfId="0"/>
    <xf numFmtId="0" fontId="0" fillId="0" borderId="81" applyAlignment="1" pivotButton="0" quotePrefix="0" xfId="0">
      <alignment horizontal="center"/>
    </xf>
    <xf numFmtId="0" fontId="0" fillId="0" borderId="82" pivotButton="0" quotePrefix="0" xfId="0"/>
    <xf numFmtId="0" fontId="10" fillId="8" borderId="35" applyAlignment="1" pivotButton="0" quotePrefix="0" xfId="0">
      <alignment vertical="center" wrapText="1"/>
    </xf>
    <xf numFmtId="0" fontId="10" fillId="8" borderId="38" applyAlignment="1" pivotButton="0" quotePrefix="0" xfId="0">
      <alignment horizontal="center" vertical="center" wrapText="1"/>
    </xf>
    <xf numFmtId="0" fontId="1" fillId="0" borderId="47" applyAlignment="1" pivotButton="0" quotePrefix="0" xfId="0">
      <alignment horizontal="center"/>
    </xf>
    <xf numFmtId="0" fontId="0" fillId="0" borderId="83" pivotButton="0" quotePrefix="0" xfId="0"/>
    <xf numFmtId="0" fontId="0" fillId="0" borderId="84" pivotButton="0" quotePrefix="0" xfId="0"/>
    <xf numFmtId="0" fontId="1" fillId="0" borderId="0" applyAlignment="1" applyProtection="1" pivotButton="0" quotePrefix="0" xfId="0">
      <alignment vertical="center"/>
      <protection locked="0" hidden="0"/>
    </xf>
    <xf numFmtId="164" fontId="0" fillId="0" borderId="41" pivotButton="0" quotePrefix="0" xfId="0"/>
    <xf numFmtId="0" fontId="3" fillId="0" borderId="15" applyAlignment="1" pivotButton="0" quotePrefix="0" xfId="0">
      <alignment vertical="center" wrapText="1"/>
    </xf>
    <xf numFmtId="0" fontId="19" fillId="0" borderId="86" pivotButton="0" quotePrefix="0" xfId="0"/>
    <xf numFmtId="0" fontId="25" fillId="0" borderId="5" pivotButton="0" quotePrefix="0" xfId="0"/>
    <xf numFmtId="0" fontId="0" fillId="0" borderId="0" applyProtection="1" pivotButton="0" quotePrefix="0" xfId="0">
      <protection locked="0" hidden="0"/>
    </xf>
    <xf numFmtId="0" fontId="0" fillId="0" borderId="34" pivotButton="0" quotePrefix="0" xfId="0"/>
    <xf numFmtId="0" fontId="0" fillId="5" borderId="27" applyProtection="1" pivotButton="0" quotePrefix="0" xfId="0">
      <protection locked="0" hidden="0"/>
    </xf>
    <xf numFmtId="0" fontId="0" fillId="5" borderId="24" applyProtection="1" pivotButton="0" quotePrefix="0" xfId="0">
      <protection locked="0" hidden="0"/>
    </xf>
    <xf numFmtId="0" fontId="25" fillId="0" borderId="10" pivotButton="0" quotePrefix="0" xfId="0"/>
    <xf numFmtId="0" fontId="1" fillId="9" borderId="88" pivotButton="0" quotePrefix="0" xfId="0"/>
    <xf numFmtId="0" fontId="0" fillId="5" borderId="19" applyProtection="1" pivotButton="0" quotePrefix="0" xfId="0">
      <protection locked="0" hidden="0"/>
    </xf>
    <xf numFmtId="0" fontId="0" fillId="5" borderId="21" applyProtection="1" pivotButton="0" quotePrefix="0" xfId="0">
      <protection locked="0" hidden="0"/>
    </xf>
    <xf numFmtId="0" fontId="0" fillId="0" borderId="50" pivotButton="0" quotePrefix="0" xfId="0"/>
    <xf numFmtId="0" fontId="0" fillId="0" borderId="51" pivotButton="0" quotePrefix="0" xfId="0"/>
    <xf numFmtId="0" fontId="0" fillId="0" borderId="78" pivotButton="0" quotePrefix="0" xfId="0"/>
    <xf numFmtId="164" fontId="0" fillId="0" borderId="23" pivotButton="0" quotePrefix="0" xfId="0"/>
    <xf numFmtId="0" fontId="1" fillId="6" borderId="1" applyAlignment="1" pivotButton="0" quotePrefix="0" xfId="0">
      <alignment horizontal="center"/>
    </xf>
    <xf numFmtId="0" fontId="0" fillId="3" borderId="9" pivotButton="0" quotePrefix="0" xfId="0"/>
    <xf numFmtId="0" fontId="3" fillId="0" borderId="8" applyAlignment="1" pivotButton="0" quotePrefix="0" xfId="0">
      <alignment vertical="center" wrapText="1"/>
    </xf>
    <xf numFmtId="0" fontId="1" fillId="9" borderId="88" applyAlignment="1" pivotButton="0" quotePrefix="0" xfId="0">
      <alignment horizontal="center"/>
    </xf>
    <xf numFmtId="0" fontId="0" fillId="5" borderId="42" applyProtection="1" pivotButton="0" quotePrefix="0" xfId="0">
      <protection locked="0" hidden="0"/>
    </xf>
    <xf numFmtId="0" fontId="3" fillId="0" borderId="5" applyAlignment="1" pivotButton="0" quotePrefix="0" xfId="0">
      <alignment vertical="center" wrapText="1"/>
    </xf>
    <xf numFmtId="0" fontId="1" fillId="9" borderId="0" applyAlignment="1" pivotButton="0" quotePrefix="0" xfId="0">
      <alignment horizontal="center"/>
    </xf>
    <xf numFmtId="0" fontId="0" fillId="5" borderId="21" applyAlignment="1" applyProtection="1" pivotButton="0" quotePrefix="0" xfId="0">
      <alignment horizontal="right"/>
      <protection locked="0" hidden="0"/>
    </xf>
    <xf numFmtId="0" fontId="0" fillId="0" borderId="15" applyAlignment="1" pivotButton="0" quotePrefix="0" xfId="0">
      <alignment horizontal="left"/>
    </xf>
    <xf numFmtId="0" fontId="1" fillId="6" borderId="39" applyAlignment="1" pivotButton="0" quotePrefix="0" xfId="0">
      <alignment horizontal="center"/>
    </xf>
    <xf numFmtId="0" fontId="0" fillId="0" borderId="87" pivotButton="0" quotePrefix="0" xfId="0"/>
    <xf numFmtId="1" fontId="0" fillId="0" borderId="89" pivotButton="0" quotePrefix="0" xfId="0"/>
    <xf numFmtId="164" fontId="0" fillId="0" borderId="87" pivotButton="0" quotePrefix="0" xfId="0"/>
    <xf numFmtId="4" fontId="1" fillId="0" borderId="0" applyAlignment="1" applyProtection="1" pivotButton="0" quotePrefix="0" xfId="0">
      <alignment horizontal="center" vertical="center"/>
      <protection locked="0" hidden="0"/>
    </xf>
    <xf numFmtId="1" fontId="12" fillId="0" borderId="19" applyAlignment="1" pivotButton="0" quotePrefix="0" xfId="0">
      <alignment horizontal="center" vertical="center" wrapText="1"/>
    </xf>
    <xf numFmtId="1" fontId="12" fillId="0" borderId="90" applyAlignment="1" pivotButton="0" quotePrefix="0" xfId="0">
      <alignment horizontal="center" vertical="center" wrapText="1"/>
    </xf>
    <xf numFmtId="0" fontId="1" fillId="8" borderId="38" pivotButton="0" quotePrefix="0" xfId="0"/>
    <xf numFmtId="0" fontId="0" fillId="0" borderId="48" applyAlignment="1" pivotButton="0" quotePrefix="0" xfId="0">
      <alignment horizontal="center"/>
    </xf>
    <xf numFmtId="0" fontId="1" fillId="8" borderId="40" applyAlignment="1" pivotButton="0" quotePrefix="0" xfId="0">
      <alignment horizontal="center"/>
    </xf>
    <xf numFmtId="0" fontId="0" fillId="8" borderId="1" pivotButton="0" quotePrefix="0" xfId="0"/>
    <xf numFmtId="0" fontId="0" fillId="0" borderId="38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18" fillId="0" borderId="0" applyAlignment="1" pivotButton="0" quotePrefix="0" xfId="0">
      <alignment textRotation="90"/>
    </xf>
    <xf numFmtId="0" fontId="0" fillId="0" borderId="2" applyAlignment="1" pivotButton="0" quotePrefix="0" xfId="0">
      <alignment horizontal="left"/>
    </xf>
    <xf numFmtId="0" fontId="0" fillId="0" borderId="13" applyAlignment="1" pivotButton="0" quotePrefix="0" xfId="0">
      <alignment horizontal="left"/>
    </xf>
    <xf numFmtId="0" fontId="0" fillId="4" borderId="2" applyAlignment="1" applyProtection="1" pivotButton="0" quotePrefix="0" xfId="0">
      <alignment horizontal="center"/>
      <protection locked="0" hidden="0"/>
    </xf>
    <xf numFmtId="0" fontId="1" fillId="2" borderId="75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" applyAlignment="1" pivotButton="0" quotePrefix="0" xfId="0">
      <alignment horizontal="left"/>
    </xf>
    <xf numFmtId="0" fontId="0" fillId="0" borderId="22" applyAlignment="1" pivotButton="0" quotePrefix="0" xfId="0">
      <alignment horizontal="left"/>
    </xf>
    <xf numFmtId="0" fontId="0" fillId="0" borderId="23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0" fillId="0" borderId="30" applyAlignment="1" pivotButton="0" quotePrefix="0" xfId="0">
      <alignment horizontal="left"/>
    </xf>
    <xf numFmtId="0" fontId="0" fillId="0" borderId="76" applyAlignment="1" pivotButton="0" quotePrefix="0" xfId="0">
      <alignment horizontal="left"/>
    </xf>
    <xf numFmtId="1" fontId="0" fillId="0" borderId="3" applyAlignment="1" pivotButton="0" quotePrefix="0" xfId="0">
      <alignment horizontal="center"/>
    </xf>
    <xf numFmtId="1" fontId="0" fillId="0" borderId="2" applyAlignment="1" pivotButton="0" quotePrefix="0" xfId="0">
      <alignment horizontal="center"/>
    </xf>
    <xf numFmtId="0" fontId="20" fillId="10" borderId="59" applyAlignment="1" pivotButton="0" quotePrefix="0" xfId="0">
      <alignment horizontal="left" vertical="center" wrapText="1"/>
    </xf>
    <xf numFmtId="0" fontId="20" fillId="10" borderId="60" applyAlignment="1" pivotButton="0" quotePrefix="0" xfId="0">
      <alignment horizontal="left" vertical="center" wrapText="1"/>
    </xf>
    <xf numFmtId="0" fontId="0" fillId="0" borderId="15" pivotButton="0" quotePrefix="0" xfId="0"/>
    <xf numFmtId="0" fontId="1" fillId="9" borderId="39" pivotButton="0" quotePrefix="0" xfId="0"/>
    <xf numFmtId="0" fontId="0" fillId="0" borderId="1" pivotButton="0" quotePrefix="0" xfId="0"/>
    <xf numFmtId="0" fontId="0" fillId="0" borderId="39" pivotButton="0" quotePrefix="0" xfId="0"/>
    <xf numFmtId="2" fontId="0" fillId="0" borderId="1" pivotButton="0" quotePrefix="0" xfId="0"/>
    <xf numFmtId="1" fontId="0" fillId="0" borderId="34" applyAlignment="1" pivotButton="0" quotePrefix="0" xfId="0">
      <alignment horizontal="center"/>
    </xf>
    <xf numFmtId="1" fontId="0" fillId="0" borderId="42" applyAlignment="1" pivotButton="0" quotePrefix="0" xfId="0">
      <alignment horizontal="center"/>
    </xf>
    <xf numFmtId="0" fontId="11" fillId="0" borderId="1" pivotButton="0" quotePrefix="0" xfId="0"/>
    <xf numFmtId="0" fontId="0" fillId="0" borderId="91" pivotButton="0" quotePrefix="0" xfId="0"/>
    <xf numFmtId="0" fontId="0" fillId="5" borderId="19" applyAlignment="1" applyProtection="1" pivotButton="0" quotePrefix="0" xfId="0">
      <alignment horizontal="right"/>
      <protection locked="0" hidden="0"/>
    </xf>
    <xf numFmtId="0" fontId="0" fillId="5" borderId="3" applyAlignment="1" applyProtection="1" pivotButton="0" quotePrefix="0" xfId="0">
      <alignment horizontal="right"/>
      <protection locked="0" hidden="0"/>
    </xf>
    <xf numFmtId="0" fontId="0" fillId="5" borderId="3" applyProtection="1" pivotButton="0" quotePrefix="0" xfId="0">
      <protection locked="0" hidden="0"/>
    </xf>
    <xf numFmtId="0" fontId="0" fillId="5" borderId="2" applyProtection="1" pivotButton="0" quotePrefix="0" xfId="0">
      <protection locked="0" hidden="0"/>
    </xf>
    <xf numFmtId="0" fontId="0" fillId="5" borderId="31" applyProtection="1" pivotButton="0" quotePrefix="0" xfId="0">
      <protection locked="0" hidden="0"/>
    </xf>
    <xf numFmtId="0" fontId="0" fillId="0" borderId="0" applyAlignment="1" pivotButton="0" quotePrefix="0" xfId="0">
      <alignment vertical="center" wrapText="1"/>
    </xf>
    <xf numFmtId="0" fontId="1" fillId="6" borderId="25" applyAlignment="1" pivotButton="0" quotePrefix="0" xfId="0">
      <alignment vertical="center" wrapText="1"/>
    </xf>
    <xf numFmtId="0" fontId="1" fillId="6" borderId="20" applyAlignment="1" pivotButton="0" quotePrefix="0" xfId="0">
      <alignment vertical="center" wrapText="1"/>
    </xf>
    <xf numFmtId="0" fontId="1" fillId="6" borderId="22" applyAlignment="1" pivotButton="0" quotePrefix="0" xfId="0">
      <alignment vertical="center" wrapText="1"/>
    </xf>
    <xf numFmtId="0" fontId="28" fillId="0" borderId="0" pivotButton="0" quotePrefix="0" xfId="0"/>
    <xf numFmtId="0" fontId="17" fillId="0" borderId="0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/>
    </xf>
    <xf numFmtId="0" fontId="16" fillId="0" borderId="9" applyAlignment="1" pivotButton="0" quotePrefix="0" xfId="0">
      <alignment horizontal="center" vertical="center"/>
    </xf>
    <xf numFmtId="0" fontId="16" fillId="0" borderId="35" applyAlignment="1" pivotButton="0" quotePrefix="0" xfId="0">
      <alignment horizontal="center" vertical="center"/>
    </xf>
    <xf numFmtId="0" fontId="16" fillId="0" borderId="15" applyAlignment="1" pivotButton="0" quotePrefix="0" xfId="0">
      <alignment horizontal="center" vertical="center"/>
    </xf>
    <xf numFmtId="0" fontId="16" fillId="0" borderId="36" applyAlignment="1" pivotButton="0" quotePrefix="0" xfId="0">
      <alignment horizontal="center" vertical="center"/>
    </xf>
    <xf numFmtId="0" fontId="1" fillId="2" borderId="74" applyAlignment="1" pivotButton="0" quotePrefix="0" xfId="0">
      <alignment horizontal="center"/>
    </xf>
    <xf numFmtId="0" fontId="1" fillId="2" borderId="75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1" fillId="2" borderId="8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0" fillId="0" borderId="12" applyAlignment="1" pivotButton="0" quotePrefix="0" xfId="0">
      <alignment horizontal="left"/>
    </xf>
    <xf numFmtId="0" fontId="0" fillId="0" borderId="13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18" fillId="0" borderId="91" applyAlignment="1" pivotButton="0" quotePrefix="0" xfId="0">
      <alignment horizontal="right" textRotation="90"/>
    </xf>
    <xf numFmtId="0" fontId="18" fillId="0" borderId="49" applyAlignment="1" pivotButton="0" quotePrefix="0" xfId="0">
      <alignment horizontal="right" textRotation="90"/>
    </xf>
    <xf numFmtId="0" fontId="0" fillId="0" borderId="31" applyAlignment="1" pivotButton="0" quotePrefix="0" xfId="0">
      <alignment horizontal="left"/>
    </xf>
    <xf numFmtId="0" fontId="0" fillId="0" borderId="44" applyAlignment="1" pivotButton="0" quotePrefix="0" xfId="0">
      <alignment horizontal="left"/>
    </xf>
    <xf numFmtId="0" fontId="0" fillId="9" borderId="2" applyAlignment="1" pivotButton="0" quotePrefix="0" xfId="0">
      <alignment horizontal="left"/>
    </xf>
    <xf numFmtId="0" fontId="0" fillId="0" borderId="43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27" fillId="4" borderId="12" applyAlignment="1" applyProtection="1" pivotButton="0" quotePrefix="0" xfId="0">
      <alignment horizontal="center"/>
      <protection locked="0" hidden="0"/>
    </xf>
    <xf numFmtId="0" fontId="27" fillId="4" borderId="13" applyAlignment="1" applyProtection="1" pivotButton="0" quotePrefix="0" xfId="0">
      <alignment horizontal="center"/>
      <protection locked="0" hidden="0"/>
    </xf>
    <xf numFmtId="0" fontId="8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left" vertical="center"/>
    </xf>
    <xf numFmtId="0" fontId="27" fillId="4" borderId="3" applyAlignment="1" applyProtection="1" pivotButton="0" quotePrefix="0" xfId="0">
      <alignment horizontal="center"/>
      <protection locked="0" hidden="0"/>
    </xf>
    <xf numFmtId="0" fontId="1" fillId="2" borderId="74" applyAlignment="1" pivotButton="0" quotePrefix="0" xfId="0">
      <alignment horizontal="left"/>
    </xf>
    <xf numFmtId="0" fontId="1" fillId="2" borderId="75" applyAlignment="1" pivotButton="0" quotePrefix="0" xfId="0">
      <alignment horizontal="left"/>
    </xf>
    <xf numFmtId="0" fontId="0" fillId="7" borderId="12" applyAlignment="1" pivotButton="0" quotePrefix="0" xfId="0">
      <alignment horizontal="center"/>
    </xf>
    <xf numFmtId="0" fontId="0" fillId="7" borderId="13" applyAlignment="1" pivotButton="0" quotePrefix="0" xfId="0">
      <alignment horizontal="center"/>
    </xf>
    <xf numFmtId="0" fontId="27" fillId="4" borderId="16" applyAlignment="1" applyProtection="1" pivotButton="0" quotePrefix="0" xfId="0">
      <alignment horizontal="center"/>
      <protection locked="0" hidden="0"/>
    </xf>
    <xf numFmtId="0" fontId="27" fillId="4" borderId="76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left"/>
    </xf>
    <xf numFmtId="0" fontId="1" fillId="2" borderId="28" applyAlignment="1" pivotButton="0" quotePrefix="0" xfId="0">
      <alignment horizontal="center" vertical="center"/>
    </xf>
    <xf numFmtId="0" fontId="1" fillId="2" borderId="29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2" borderId="33" applyAlignment="1" pivotButton="0" quotePrefix="0" xfId="0">
      <alignment horizontal="center"/>
    </xf>
    <xf numFmtId="0" fontId="8" fillId="0" borderId="32" applyAlignment="1" pivotButton="0" quotePrefix="0" xfId="0">
      <alignment horizontal="center"/>
    </xf>
    <xf numFmtId="0" fontId="0" fillId="0" borderId="2" pivotButton="0" quotePrefix="0" xfId="0"/>
    <xf numFmtId="0" fontId="4" fillId="2" borderId="4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 wrapText="1"/>
    </xf>
    <xf numFmtId="0" fontId="27" fillId="4" borderId="2" applyAlignment="1" applyProtection="1" pivotButton="0" quotePrefix="0" xfId="0">
      <alignment horizontal="center"/>
      <protection locked="0" hidden="0"/>
    </xf>
    <xf numFmtId="0" fontId="1" fillId="2" borderId="34" applyAlignment="1" pivotButton="0" quotePrefix="0" xfId="0">
      <alignment horizontal="center"/>
    </xf>
    <xf numFmtId="0" fontId="1" fillId="2" borderId="28" applyAlignment="1" pivotButton="0" quotePrefix="0" xfId="0">
      <alignment horizontal="center"/>
    </xf>
    <xf numFmtId="0" fontId="1" fillId="2" borderId="29" applyAlignment="1" pivotButton="0" quotePrefix="0" xfId="0">
      <alignment horizontal="center"/>
    </xf>
    <xf numFmtId="0" fontId="8" fillId="0" borderId="0" applyAlignment="1" pivotButton="0" quotePrefix="0" xfId="0">
      <alignment horizontal="center" wrapText="1"/>
    </xf>
    <xf numFmtId="0" fontId="8" fillId="0" borderId="32" applyAlignment="1" pivotButton="0" quotePrefix="0" xfId="0">
      <alignment horizontal="center" wrapText="1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6" fillId="0" borderId="15" applyAlignment="1" pivotButton="0" quotePrefix="0" xfId="0">
      <alignment horizontal="center"/>
    </xf>
    <xf numFmtId="0" fontId="22" fillId="0" borderId="8" applyAlignment="1" pivotButton="0" quotePrefix="0" xfId="0">
      <alignment horizontal="left" wrapText="1"/>
    </xf>
    <xf numFmtId="0" fontId="22" fillId="0" borderId="0" applyAlignment="1" pivotButton="0" quotePrefix="0" xfId="0">
      <alignment horizontal="left" wrapText="1"/>
    </xf>
    <xf numFmtId="0" fontId="0" fillId="13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top"/>
    </xf>
    <xf numFmtId="0" fontId="0" fillId="0" borderId="10" applyAlignment="1" pivotButton="0" quotePrefix="0" xfId="0">
      <alignment horizontal="center"/>
    </xf>
    <xf numFmtId="0" fontId="16" fillId="0" borderId="7" applyAlignment="1" pivotButton="0" quotePrefix="0" xfId="0">
      <alignment horizontal="center" wrapText="1"/>
    </xf>
    <xf numFmtId="0" fontId="16" fillId="0" borderId="8" applyAlignment="1" pivotButton="0" quotePrefix="0" xfId="0">
      <alignment horizontal="center" wrapText="1"/>
    </xf>
    <xf numFmtId="0" fontId="16" fillId="0" borderId="9" applyAlignment="1" pivotButton="0" quotePrefix="0" xfId="0">
      <alignment horizontal="center" wrapText="1"/>
    </xf>
    <xf numFmtId="0" fontId="16" fillId="0" borderId="14" applyAlignment="1" pivotButton="0" quotePrefix="0" xfId="0">
      <alignment horizontal="center" wrapText="1"/>
    </xf>
    <xf numFmtId="0" fontId="16" fillId="0" borderId="0" applyAlignment="1" pivotButton="0" quotePrefix="0" xfId="0">
      <alignment horizontal="center" wrapText="1"/>
    </xf>
    <xf numFmtId="0" fontId="16" fillId="0" borderId="10" applyAlignment="1" pivotButton="0" quotePrefix="0" xfId="0">
      <alignment horizontal="center" wrapText="1"/>
    </xf>
    <xf numFmtId="0" fontId="16" fillId="0" borderId="35" applyAlignment="1" pivotButton="0" quotePrefix="0" xfId="0">
      <alignment horizontal="center" wrapText="1"/>
    </xf>
    <xf numFmtId="0" fontId="16" fillId="0" borderId="15" applyAlignment="1" pivotButton="0" quotePrefix="0" xfId="0">
      <alignment horizontal="center" wrapText="1"/>
    </xf>
    <xf numFmtId="0" fontId="16" fillId="0" borderId="36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/>
    </xf>
    <xf numFmtId="0" fontId="1" fillId="8" borderId="6" applyAlignment="1" pivotButton="0" quotePrefix="0" xfId="0">
      <alignment horizontal="center" vertical="center"/>
    </xf>
    <xf numFmtId="1" fontId="1" fillId="0" borderId="4" applyAlignment="1" pivotButton="0" quotePrefix="0" xfId="0">
      <alignment horizontal="center"/>
    </xf>
    <xf numFmtId="1" fontId="1" fillId="0" borderId="6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" fontId="1" fillId="0" borderId="35" applyAlignment="1" pivotButton="0" quotePrefix="0" xfId="0">
      <alignment horizontal="center"/>
    </xf>
    <xf numFmtId="1" fontId="1" fillId="0" borderId="36" applyAlignment="1" pivotButton="0" quotePrefix="0" xfId="0">
      <alignment horizontal="center"/>
    </xf>
    <xf numFmtId="0" fontId="1" fillId="8" borderId="45" applyAlignment="1" pivotButton="0" quotePrefix="0" xfId="0">
      <alignment horizontal="center" vertical="center"/>
    </xf>
    <xf numFmtId="0" fontId="1" fillId="8" borderId="88" applyAlignment="1" pivotButton="0" quotePrefix="0" xfId="0">
      <alignment horizontal="center" vertical="center"/>
    </xf>
    <xf numFmtId="0" fontId="3" fillId="9" borderId="7" applyAlignment="1" pivotButton="0" quotePrefix="0" xfId="0">
      <alignment horizontal="center" vertical="center" wrapText="1"/>
    </xf>
    <xf numFmtId="0" fontId="3" fillId="9" borderId="8" applyAlignment="1" pivotButton="0" quotePrefix="0" xfId="0">
      <alignment horizontal="center" vertical="center" wrapText="1"/>
    </xf>
    <xf numFmtId="0" fontId="3" fillId="9" borderId="35" applyAlignment="1" pivotButton="0" quotePrefix="0" xfId="0">
      <alignment horizontal="center" vertical="center" wrapText="1"/>
    </xf>
    <xf numFmtId="0" fontId="3" fillId="9" borderId="15" applyAlignment="1" pivotButton="0" quotePrefix="0" xfId="0">
      <alignment horizontal="center" vertical="center" wrapText="1"/>
    </xf>
    <xf numFmtId="0" fontId="1" fillId="9" borderId="29" applyAlignment="1" pivotButton="0" quotePrefix="0" xfId="0">
      <alignment horizontal="left"/>
    </xf>
    <xf numFmtId="0" fontId="1" fillId="9" borderId="53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0" fillId="0" borderId="3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9" borderId="87" applyAlignment="1" pivotButton="0" quotePrefix="0" xfId="0">
      <alignment horizontal="left"/>
    </xf>
    <xf numFmtId="0" fontId="1" fillId="9" borderId="85" applyAlignment="1" pivotButton="0" quotePrefix="0" xfId="0">
      <alignment horizontal="left"/>
    </xf>
    <xf numFmtId="0" fontId="0" fillId="0" borderId="18" applyAlignment="1" pivotButton="0" quotePrefix="0" xfId="0">
      <alignment horizontal="left"/>
    </xf>
    <xf numFmtId="0" fontId="3" fillId="9" borderId="9" applyAlignment="1" pivotButton="0" quotePrefix="0" xfId="0">
      <alignment horizontal="center" vertical="center" wrapText="1"/>
    </xf>
    <xf numFmtId="0" fontId="3" fillId="9" borderId="36" applyAlignment="1" pivotButton="0" quotePrefix="0" xfId="0">
      <alignment horizontal="center" vertical="center" wrapText="1"/>
    </xf>
    <xf numFmtId="0" fontId="1" fillId="9" borderId="25" applyAlignment="1" pivotButton="0" quotePrefix="0" xfId="0">
      <alignment horizontal="center"/>
    </xf>
    <xf numFmtId="0" fontId="1" fillId="9" borderId="27" applyAlignment="1" pivotButton="0" quotePrefix="0" xfId="0">
      <alignment horizontal="center"/>
    </xf>
    <xf numFmtId="4" fontId="1" fillId="5" borderId="20" applyAlignment="1" applyProtection="1" pivotButton="0" quotePrefix="0" xfId="0">
      <alignment horizontal="center" vertical="center"/>
      <protection locked="0" hidden="0"/>
    </xf>
    <xf numFmtId="4" fontId="1" fillId="5" borderId="21" applyAlignment="1" applyProtection="1" pivotButton="0" quotePrefix="0" xfId="0">
      <alignment horizontal="center" vertical="center"/>
      <protection locked="0" hidden="0"/>
    </xf>
    <xf numFmtId="4" fontId="1" fillId="5" borderId="22" applyAlignment="1" applyProtection="1" pivotButton="0" quotePrefix="0" xfId="0">
      <alignment horizontal="center" vertical="center"/>
      <protection locked="0" hidden="0"/>
    </xf>
    <xf numFmtId="4" fontId="1" fillId="5" borderId="24" applyAlignment="1" applyProtection="1" pivotButton="0" quotePrefix="0" xfId="0">
      <alignment horizontal="center" vertical="center"/>
      <protection locked="0" hidden="0"/>
    </xf>
    <xf numFmtId="0" fontId="26" fillId="9" borderId="7" applyAlignment="1" pivotButton="0" quotePrefix="0" xfId="0">
      <alignment horizontal="center" vertical="center" wrapText="1"/>
    </xf>
    <xf numFmtId="0" fontId="26" fillId="9" borderId="8" applyAlignment="1" pivotButton="0" quotePrefix="0" xfId="0">
      <alignment horizontal="center" vertical="center" wrapText="1"/>
    </xf>
    <xf numFmtId="0" fontId="26" fillId="9" borderId="9" applyAlignment="1" pivotButton="0" quotePrefix="0" xfId="0">
      <alignment horizontal="center" vertical="center" wrapText="1"/>
    </xf>
    <xf numFmtId="0" fontId="26" fillId="9" borderId="35" applyAlignment="1" pivotButton="0" quotePrefix="0" xfId="0">
      <alignment horizontal="center" vertical="center" wrapText="1"/>
    </xf>
    <xf numFmtId="0" fontId="26" fillId="9" borderId="15" applyAlignment="1" pivotButton="0" quotePrefix="0" xfId="0">
      <alignment horizontal="center" vertical="center" wrapText="1"/>
    </xf>
    <xf numFmtId="0" fontId="26" fillId="9" borderId="36" applyAlignment="1" pivotButton="0" quotePrefix="0" xfId="0">
      <alignment horizontal="center" vertical="center" wrapText="1"/>
    </xf>
    <xf numFmtId="0" fontId="0" fillId="0" borderId="46" applyAlignment="1" pivotButton="0" quotePrefix="0" xfId="0">
      <alignment horizontal="left"/>
    </xf>
    <xf numFmtId="0" fontId="0" fillId="0" borderId="76" applyAlignment="1" pivotButton="0" quotePrefix="0" xfId="0">
      <alignment horizontal="left"/>
    </xf>
    <xf numFmtId="0" fontId="1" fillId="9" borderId="18" applyAlignment="1" pivotButton="0" quotePrefix="0" xfId="0">
      <alignment horizontal="left"/>
    </xf>
    <xf numFmtId="0" fontId="1" fillId="9" borderId="16" applyAlignment="1" pivotButton="0" quotePrefix="0" xfId="0">
      <alignment horizontal="left"/>
    </xf>
    <xf numFmtId="0" fontId="0" fillId="0" borderId="22" applyAlignment="1" pivotButton="0" quotePrefix="0" xfId="0">
      <alignment horizontal="left"/>
    </xf>
    <xf numFmtId="0" fontId="0" fillId="0" borderId="23" applyAlignment="1" pivotButton="0" quotePrefix="0" xfId="0">
      <alignment horizontal="left"/>
    </xf>
    <xf numFmtId="0" fontId="19" fillId="14" borderId="1" applyAlignment="1" pivotButton="0" quotePrefix="0" xfId="0">
      <alignment horizontal="center"/>
    </xf>
    <xf numFmtId="0" fontId="1" fillId="9" borderId="25" applyAlignment="1" pivotButton="0" quotePrefix="0" xfId="0">
      <alignment horizontal="left"/>
    </xf>
    <xf numFmtId="0" fontId="0" fillId="5" borderId="26" applyAlignment="1" applyProtection="1" pivotButton="0" quotePrefix="0" xfId="0">
      <alignment horizontal="center" vertical="center" wrapText="1"/>
      <protection locked="0" hidden="0"/>
    </xf>
    <xf numFmtId="0" fontId="0" fillId="5" borderId="27" applyAlignment="1" applyProtection="1" pivotButton="0" quotePrefix="0" xfId="0">
      <alignment horizontal="center" vertical="center" wrapText="1"/>
      <protection locked="0" hidden="0"/>
    </xf>
    <xf numFmtId="14" fontId="0" fillId="5" borderId="2" applyAlignment="1" applyProtection="1" pivotButton="0" quotePrefix="0" xfId="0">
      <alignment horizontal="center" vertical="center" wrapText="1"/>
      <protection locked="0" hidden="0"/>
    </xf>
    <xf numFmtId="0" fontId="0" fillId="5" borderId="21" applyAlignment="1" applyProtection="1" pivotButton="0" quotePrefix="0" xfId="0">
      <alignment horizontal="center" vertical="center" wrapText="1"/>
      <protection locked="0" hidden="0"/>
    </xf>
    <xf numFmtId="0" fontId="0" fillId="5" borderId="23" applyAlignment="1" applyProtection="1" pivotButton="0" quotePrefix="0" xfId="0">
      <alignment horizontal="center" vertical="center" wrapText="1"/>
      <protection locked="0" hidden="0"/>
    </xf>
    <xf numFmtId="0" fontId="0" fillId="5" borderId="24" applyAlignment="1" applyProtection="1" pivotButton="0" quotePrefix="0" xfId="0">
      <alignment horizontal="center" vertical="center" wrapText="1"/>
      <protection locked="0" hidden="0"/>
    </xf>
    <xf numFmtId="0" fontId="20" fillId="10" borderId="59" applyAlignment="1" pivotButton="0" quotePrefix="0" xfId="0">
      <alignment horizontal="left" vertical="center" wrapText="1"/>
    </xf>
    <xf numFmtId="0" fontId="20" fillId="10" borderId="60" applyAlignment="1" pivotButton="0" quotePrefix="0" xfId="0">
      <alignment horizontal="left" vertical="center" wrapText="1"/>
    </xf>
    <xf numFmtId="0" fontId="20" fillId="10" borderId="61" applyAlignment="1" pivotButton="0" quotePrefix="0" xfId="0">
      <alignment horizontal="left" vertical="center" wrapText="1"/>
    </xf>
    <xf numFmtId="1" fontId="0" fillId="0" borderId="2" applyAlignment="1" pivotButton="0" quotePrefix="0" xfId="0">
      <alignment horizontal="center"/>
    </xf>
    <xf numFmtId="0" fontId="0" fillId="7" borderId="3" applyAlignment="1" pivotButton="0" quotePrefix="0" xfId="0">
      <alignment horizontal="center"/>
    </xf>
    <xf numFmtId="1" fontId="0" fillId="0" borderId="3" applyAlignment="1" pivotButton="0" quotePrefix="0" xfId="0">
      <alignment horizontal="center"/>
    </xf>
    <xf numFmtId="0" fontId="1" fillId="2" borderId="28" applyAlignment="1" pivotButton="0" quotePrefix="0" xfId="0">
      <alignment horizontal="left"/>
    </xf>
    <xf numFmtId="0" fontId="1" fillId="2" borderId="29" applyAlignment="1" pivotButton="0" quotePrefix="0" xfId="0">
      <alignment horizontal="left"/>
    </xf>
    <xf numFmtId="0" fontId="0" fillId="2" borderId="29" applyAlignment="1" pivotButton="0" quotePrefix="0" xfId="0">
      <alignment horizontal="left"/>
    </xf>
    <xf numFmtId="0" fontId="0" fillId="2" borderId="17" applyAlignment="1" pivotButton="0" quotePrefix="0" xfId="0">
      <alignment horizontal="left"/>
    </xf>
    <xf numFmtId="0" fontId="8" fillId="0" borderId="0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32" applyAlignment="1" pivotButton="0" quotePrefix="0" xfId="0">
      <alignment horizontal="center" vertical="center"/>
    </xf>
    <xf numFmtId="0" fontId="8" fillId="0" borderId="37" applyAlignment="1" pivotButton="0" quotePrefix="0" xfId="0">
      <alignment horizontal="center" vertical="center"/>
    </xf>
    <xf numFmtId="1" fontId="9" fillId="0" borderId="7" applyAlignment="1" pivotButton="0" quotePrefix="0" xfId="0">
      <alignment horizontal="center" vertical="center"/>
    </xf>
    <xf numFmtId="1" fontId="9" fillId="0" borderId="9" applyAlignment="1" pivotButton="0" quotePrefix="0" xfId="0">
      <alignment horizontal="center" vertical="center"/>
    </xf>
    <xf numFmtId="1" fontId="9" fillId="0" borderId="35" applyAlignment="1" pivotButton="0" quotePrefix="0" xfId="0">
      <alignment horizontal="center" vertical="center"/>
    </xf>
    <xf numFmtId="1" fontId="9" fillId="0" borderId="36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3" pivotButton="0" quotePrefix="0" xfId="0"/>
    <xf numFmtId="0" fontId="1" fillId="2" borderId="39" applyAlignment="1" pivotButton="0" quotePrefix="0" xfId="0">
      <alignment horizontal="center"/>
    </xf>
    <xf numFmtId="0" fontId="0" fillId="0" borderId="43" pivotButton="0" quotePrefix="0" xfId="0"/>
    <xf numFmtId="165" fontId="1" fillId="4" borderId="1" applyProtection="1" pivotButton="0" quotePrefix="0" xfId="1">
      <protection locked="0" hidden="0"/>
    </xf>
    <xf numFmtId="0" fontId="0" fillId="7" borderId="2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0" fillId="0" borderId="6" pivotButton="0" quotePrefix="0" xfId="0"/>
    <xf numFmtId="0" fontId="0" fillId="0" borderId="76" applyProtection="1" pivotButton="0" quotePrefix="0" xfId="0">
      <protection locked="0" hidden="0"/>
    </xf>
    <xf numFmtId="0" fontId="0" fillId="0" borderId="92" pivotButton="0" quotePrefix="0" xfId="0"/>
    <xf numFmtId="0" fontId="0" fillId="0" borderId="13" applyProtection="1" pivotButton="0" quotePrefix="0" xfId="0">
      <protection locked="0" hidden="0"/>
    </xf>
    <xf numFmtId="165" fontId="1" fillId="0" borderId="0" pivotButton="0" quotePrefix="0" xfId="0"/>
    <xf numFmtId="0" fontId="16" fillId="0" borderId="1" applyAlignment="1" pivotButton="0" quotePrefix="0" xfId="0">
      <alignment horizontal="center" wrapText="1"/>
    </xf>
    <xf numFmtId="0" fontId="1" fillId="8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/>
    </xf>
    <xf numFmtId="165" fontId="0" fillId="0" borderId="0" pivotButton="0" quotePrefix="0" xfId="0"/>
    <xf numFmtId="0" fontId="1" fillId="8" borderId="93" applyAlignment="1" pivotButton="0" quotePrefix="0" xfId="0">
      <alignment horizontal="center" vertical="center"/>
    </xf>
    <xf numFmtId="0" fontId="0" fillId="0" borderId="88" pivotButton="0" quotePrefix="0" xfId="0"/>
    <xf numFmtId="1" fontId="1" fillId="0" borderId="38" applyAlignment="1" pivotButton="0" quotePrefix="0" xfId="0">
      <alignment horizontal="center"/>
    </xf>
    <xf numFmtId="0" fontId="0" fillId="0" borderId="11" applyProtection="1" pivotButton="0" quotePrefix="0" xfId="0">
      <protection locked="0" hidden="0"/>
    </xf>
    <xf numFmtId="166" fontId="0" fillId="0" borderId="0" pivotButton="0" quotePrefix="0" xfId="0"/>
    <xf numFmtId="0" fontId="0" fillId="0" borderId="84" applyProtection="1" pivotButton="0" quotePrefix="0" xfId="0">
      <protection locked="0" hidden="0"/>
    </xf>
    <xf numFmtId="0" fontId="0" fillId="0" borderId="46" applyProtection="1" pivotButton="0" quotePrefix="0" xfId="0">
      <protection locked="0" hidden="0"/>
    </xf>
    <xf numFmtId="0" fontId="0" fillId="0" borderId="40" applyProtection="1" pivotButton="0" quotePrefix="0" xfId="0">
      <protection locked="0" hidden="0"/>
    </xf>
    <xf numFmtId="0" fontId="26" fillId="9" borderId="1" applyAlignment="1" pivotButton="0" quotePrefix="0" xfId="0">
      <alignment horizontal="center" vertical="center" wrapText="1"/>
    </xf>
    <xf numFmtId="164" fontId="0" fillId="0" borderId="16" pivotButton="0" quotePrefix="0" xfId="0"/>
    <xf numFmtId="164" fontId="0" fillId="0" borderId="41" pivotButton="0" quotePrefix="0" xfId="0"/>
    <xf numFmtId="164" fontId="0" fillId="0" borderId="23" pivotButton="0" quotePrefix="0" xfId="0"/>
    <xf numFmtId="164" fontId="0" fillId="0" borderId="0" pivotButton="0" quotePrefix="0" xfId="0"/>
    <xf numFmtId="0" fontId="3" fillId="9" borderId="1" applyAlignment="1" pivotButton="0" quotePrefix="0" xfId="0">
      <alignment horizontal="center" vertical="center" wrapText="1"/>
    </xf>
    <xf numFmtId="0" fontId="0" fillId="0" borderId="95" pivotButton="0" quotePrefix="0" xfId="0"/>
    <xf numFmtId="164" fontId="0" fillId="0" borderId="87" pivotButton="0" quotePrefix="0" xfId="0"/>
    <xf numFmtId="164" fontId="0" fillId="0" borderId="3" pivotButton="0" quotePrefix="0" xfId="0"/>
    <xf numFmtId="0" fontId="3" fillId="9" borderId="4" applyAlignment="1" pivotButton="0" quotePrefix="0" xfId="0">
      <alignment horizontal="center" vertical="center" wrapText="1"/>
    </xf>
    <xf numFmtId="167" fontId="25" fillId="0" borderId="38" pivotButton="0" quotePrefix="0" xfId="0"/>
    <xf numFmtId="167" fontId="25" fillId="0" borderId="1" pivotButton="0" quotePrefix="0" xfId="0"/>
    <xf numFmtId="167" fontId="25" fillId="0" borderId="0" pivotButton="0" quotePrefix="0" xfId="0"/>
    <xf numFmtId="167" fontId="24" fillId="0" borderId="0" pivotButton="0" quotePrefix="0" xfId="0"/>
    <xf numFmtId="165" fontId="1" fillId="0" borderId="0" pivotButton="0" quotePrefix="0" xfId="1"/>
    <xf numFmtId="165" fontId="1" fillId="4" borderId="1" applyAlignment="1" pivotButton="0" quotePrefix="0" xfId="1">
      <alignment vertical="center"/>
    </xf>
    <xf numFmtId="1" fontId="9" fillId="0" borderId="1" applyAlignment="1" pivotButton="0" quotePrefix="0" xfId="0">
      <alignment horizontal="center" vertical="center"/>
    </xf>
    <xf numFmtId="0" fontId="0" fillId="0" borderId="37" pivotButton="0" quotePrefix="0" xfId="0"/>
    <xf numFmtId="0" fontId="20" fillId="10" borderId="96" applyAlignment="1" pivotButton="0" quotePrefix="0" xfId="0">
      <alignment horizontal="left" vertical="center" wrapText="1"/>
    </xf>
    <xf numFmtId="0" fontId="0" fillId="0" borderId="60" pivotButton="0" quotePrefix="0" xfId="0"/>
    <xf numFmtId="0" fontId="0" fillId="0" borderId="61" pivotButton="0" quotePrefix="0" xfId="0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32"/>
  <sheetViews>
    <sheetView workbookViewId="0">
      <selection activeCell="P31" sqref="P31"/>
    </sheetView>
  </sheetViews>
  <sheetFormatPr baseColWidth="8" defaultColWidth="8.85546875" defaultRowHeight="15"/>
  <cols>
    <col width="3.5703125" customWidth="1" min="1" max="1"/>
    <col width="6.42578125" customWidth="1" min="4" max="4"/>
    <col width="5.42578125" customWidth="1" min="5" max="5"/>
    <col width="3.85546875" customWidth="1" min="6" max="6"/>
    <col width="7.140625" customWidth="1" min="9" max="9"/>
    <col width="4.140625" customWidth="1" min="10" max="10"/>
    <col width="2.140625" customWidth="1" min="12" max="12"/>
  </cols>
  <sheetData>
    <row r="2" ht="14.45" customHeight="1">
      <c r="D2" s="271" t="inlineStr">
        <is>
          <t>Count Sheet</t>
        </is>
      </c>
    </row>
    <row r="3" ht="14.45" customHeight="1"/>
    <row r="4" ht="2.45" customHeight="1" thickBot="1"/>
    <row r="5" ht="30.75" customHeight="1">
      <c r="B5" s="413" t="inlineStr">
        <is>
          <t>Quick Chick</t>
        </is>
      </c>
      <c r="C5" s="73" t="n"/>
      <c r="D5" s="73" t="n"/>
      <c r="E5" s="180" t="n"/>
      <c r="G5" s="413" t="inlineStr">
        <is>
          <t>Line</t>
        </is>
      </c>
      <c r="H5" s="73" t="n"/>
      <c r="I5" s="180" t="n"/>
      <c r="K5" s="413" t="inlineStr">
        <is>
          <t>Waste</t>
        </is>
      </c>
      <c r="L5" s="73" t="n"/>
      <c r="M5" s="180" t="n"/>
    </row>
    <row r="6" ht="15.75" customHeight="1" thickBot="1">
      <c r="B6" s="414" t="n"/>
      <c r="C6" s="252" t="n"/>
      <c r="D6" s="252" t="n"/>
      <c r="E6" s="415" t="n"/>
      <c r="G6" s="414" t="n"/>
      <c r="H6" s="252" t="n"/>
      <c r="I6" s="415" t="n"/>
      <c r="K6" s="414" t="n"/>
      <c r="L6" s="252" t="n"/>
      <c r="M6" s="415" t="n"/>
    </row>
    <row r="7">
      <c r="B7" s="278" t="inlineStr">
        <is>
          <t>Flavor</t>
        </is>
      </c>
      <c r="C7" s="416" t="n"/>
      <c r="D7" s="155" t="inlineStr">
        <is>
          <t>SM</t>
        </is>
      </c>
      <c r="E7" s="19" t="inlineStr">
        <is>
          <t>LG</t>
        </is>
      </c>
      <c r="G7" s="417" t="inlineStr">
        <is>
          <t>Flavor</t>
        </is>
      </c>
      <c r="H7" s="73" t="n"/>
      <c r="I7" s="180" t="n"/>
      <c r="K7" s="417" t="inlineStr">
        <is>
          <t>Flavor</t>
        </is>
      </c>
      <c r="L7" s="73" t="n"/>
      <c r="M7" s="180" t="n"/>
    </row>
    <row r="8">
      <c r="B8" s="285" t="inlineStr">
        <is>
          <t>Barbie Q</t>
        </is>
      </c>
      <c r="C8" s="15" t="n"/>
      <c r="D8" s="157" t="n"/>
      <c r="E8" s="157" t="n"/>
      <c r="G8" s="285" t="inlineStr">
        <is>
          <t>Barbie Q</t>
        </is>
      </c>
      <c r="H8" s="15" t="n"/>
      <c r="I8" s="156" t="n"/>
      <c r="K8" s="285" t="inlineStr">
        <is>
          <t>BBQ</t>
        </is>
      </c>
      <c r="L8" s="15" t="n"/>
      <c r="M8" s="156" t="n"/>
    </row>
    <row r="9">
      <c r="B9" s="285" t="inlineStr">
        <is>
          <t>Buffalo Barclay</t>
        </is>
      </c>
      <c r="C9" s="15" t="n"/>
      <c r="D9" s="315" t="n"/>
      <c r="E9" s="315" t="n"/>
      <c r="G9" s="285" t="inlineStr">
        <is>
          <t>Buffalo Barclay</t>
        </is>
      </c>
      <c r="H9" s="15" t="n"/>
      <c r="I9" s="315" t="n"/>
      <c r="K9" s="285" t="inlineStr">
        <is>
          <t xml:space="preserve">BB </t>
        </is>
      </c>
      <c r="L9" s="15" t="n"/>
      <c r="M9" s="315" t="n"/>
    </row>
    <row r="10">
      <c r="B10" s="285" t="inlineStr">
        <is>
          <t>Classic Carol</t>
        </is>
      </c>
      <c r="C10" s="15" t="n"/>
      <c r="D10" s="315" t="n"/>
      <c r="E10" s="315" t="n"/>
      <c r="G10" s="285" t="inlineStr">
        <is>
          <t>Classic Carol</t>
        </is>
      </c>
      <c r="H10" s="15" t="n"/>
      <c r="I10" s="315" t="n"/>
      <c r="K10" s="285" t="inlineStr">
        <is>
          <t>CC</t>
        </is>
      </c>
      <c r="L10" s="15" t="n"/>
      <c r="M10" s="315" t="n"/>
    </row>
    <row r="11">
      <c r="B11" s="285" t="inlineStr">
        <is>
          <t>Cranberry Kelli</t>
        </is>
      </c>
      <c r="C11" s="15" t="n"/>
      <c r="D11" s="57" t="n"/>
      <c r="E11" s="315" t="n"/>
      <c r="G11" s="285" t="inlineStr">
        <is>
          <t>Cranberry Kelli</t>
        </is>
      </c>
      <c r="H11" s="15" t="n"/>
      <c r="I11" s="315" t="n"/>
      <c r="K11" s="285" t="inlineStr">
        <is>
          <t>CK</t>
        </is>
      </c>
      <c r="L11" s="15" t="n"/>
      <c r="M11" s="315" t="n"/>
    </row>
    <row r="12">
      <c r="B12" s="285" t="inlineStr">
        <is>
          <t>Dixie Chick</t>
        </is>
      </c>
      <c r="C12" s="15" t="n"/>
      <c r="D12" s="57" t="n"/>
      <c r="E12" s="315" t="n"/>
      <c r="G12" s="285" t="inlineStr">
        <is>
          <t>Dixie Chick</t>
        </is>
      </c>
      <c r="H12" s="15" t="n"/>
      <c r="I12" s="315" t="n"/>
      <c r="K12" s="285" t="inlineStr">
        <is>
          <t>DC</t>
        </is>
      </c>
      <c r="L12" s="15" t="n"/>
      <c r="M12" s="315" t="n"/>
    </row>
    <row r="13">
      <c r="B13" s="285" t="inlineStr">
        <is>
          <t>Fancy Nancy</t>
        </is>
      </c>
      <c r="C13" s="15" t="n"/>
      <c r="D13" s="57" t="n"/>
      <c r="E13" s="315" t="n"/>
      <c r="G13" s="285" t="inlineStr">
        <is>
          <t>Fancy Nancy</t>
        </is>
      </c>
      <c r="H13" s="15" t="n"/>
      <c r="I13" s="315" t="n"/>
      <c r="K13" s="285" t="inlineStr">
        <is>
          <t>FN</t>
        </is>
      </c>
      <c r="L13" s="15" t="n"/>
      <c r="M13" s="315" t="n"/>
    </row>
    <row r="14">
      <c r="B14" s="285" t="inlineStr">
        <is>
          <t>Fruity Fran</t>
        </is>
      </c>
      <c r="C14" s="15" t="n"/>
      <c r="D14" s="57" t="n"/>
      <c r="E14" s="315" t="n"/>
      <c r="G14" s="285" t="inlineStr">
        <is>
          <t>Fruity Fran</t>
        </is>
      </c>
      <c r="H14" s="15" t="n"/>
      <c r="I14" s="315" t="n"/>
      <c r="K14" s="285" t="inlineStr">
        <is>
          <t>FF</t>
        </is>
      </c>
      <c r="L14" s="15" t="n"/>
      <c r="M14" s="315" t="n"/>
    </row>
    <row r="15">
      <c r="B15" s="285" t="inlineStr">
        <is>
          <t>Jalapeño Holly</t>
        </is>
      </c>
      <c r="C15" s="15" t="n"/>
      <c r="D15" s="57" t="n"/>
      <c r="E15" s="315" t="n"/>
      <c r="G15" s="285" t="inlineStr">
        <is>
          <t>Jalapeño Holly</t>
        </is>
      </c>
      <c r="H15" s="15" t="n"/>
      <c r="I15" s="315" t="n"/>
      <c r="K15" s="285" t="inlineStr">
        <is>
          <t>JH</t>
        </is>
      </c>
      <c r="L15" s="15" t="n"/>
      <c r="M15" s="315" t="n"/>
    </row>
    <row r="16">
      <c r="B16" s="285" t="inlineStr">
        <is>
          <t>Kickin Kay Lynne</t>
        </is>
      </c>
      <c r="C16" s="15" t="n"/>
      <c r="D16" s="57" t="n"/>
      <c r="E16" s="315" t="n"/>
      <c r="G16" s="285" t="inlineStr">
        <is>
          <t>Kickin Kay Lynne</t>
        </is>
      </c>
      <c r="H16" s="15" t="n"/>
      <c r="I16" s="315" t="n"/>
      <c r="K16" s="285" t="inlineStr">
        <is>
          <t>KKL</t>
        </is>
      </c>
      <c r="L16" s="15" t="n"/>
      <c r="M16" s="315" t="n"/>
    </row>
    <row r="17">
      <c r="B17" s="285" t="inlineStr">
        <is>
          <t>Lauryn's L. Basil</t>
        </is>
      </c>
      <c r="C17" s="15" t="n"/>
      <c r="D17" s="57" t="n"/>
      <c r="E17" s="315" t="n"/>
      <c r="G17" s="285" t="inlineStr">
        <is>
          <t>Lauryn's L. Basil</t>
        </is>
      </c>
      <c r="H17" s="15" t="n"/>
      <c r="I17" s="315" t="n"/>
      <c r="K17" s="285" t="inlineStr">
        <is>
          <t>LLB</t>
        </is>
      </c>
      <c r="L17" s="15" t="n"/>
      <c r="M17" s="315" t="n"/>
    </row>
    <row r="18">
      <c r="B18" s="285" t="inlineStr">
        <is>
          <t>Local Flavor</t>
        </is>
      </c>
      <c r="C18" s="15" t="n"/>
      <c r="D18" s="57" t="n"/>
      <c r="E18" s="315" t="n"/>
      <c r="G18" s="285" t="inlineStr">
        <is>
          <t>Local Flavor</t>
        </is>
      </c>
      <c r="H18" s="15" t="n"/>
      <c r="I18" s="315" t="n"/>
      <c r="K18" s="285" t="inlineStr">
        <is>
          <t>LOCAL</t>
        </is>
      </c>
      <c r="L18" s="15" t="n"/>
      <c r="M18" s="315" t="n"/>
    </row>
    <row r="19">
      <c r="B19" s="285" t="inlineStr">
        <is>
          <t>Olivia's Old South</t>
        </is>
      </c>
      <c r="C19" s="15" t="n"/>
      <c r="D19" s="57" t="n"/>
      <c r="E19" s="315" t="n"/>
      <c r="G19" s="285" t="inlineStr">
        <is>
          <t>Olivia's Old South</t>
        </is>
      </c>
      <c r="H19" s="15" t="n"/>
      <c r="I19" s="315" t="n"/>
      <c r="K19" s="285" t="inlineStr">
        <is>
          <t>OOS</t>
        </is>
      </c>
      <c r="L19" s="15" t="n"/>
      <c r="M19" s="315" t="n"/>
    </row>
    <row r="20">
      <c r="B20" s="285" t="inlineStr">
        <is>
          <t>Sassy Scotty</t>
        </is>
      </c>
      <c r="C20" s="15" t="n"/>
      <c r="D20" s="57" t="n"/>
      <c r="E20" s="315" t="n"/>
      <c r="G20" s="285" t="inlineStr">
        <is>
          <t>Sassy Scotty</t>
        </is>
      </c>
      <c r="H20" s="15" t="n"/>
      <c r="I20" s="315" t="n"/>
      <c r="K20" s="285" t="inlineStr">
        <is>
          <t>SS</t>
        </is>
      </c>
      <c r="L20" s="15" t="n"/>
      <c r="M20" s="315" t="n"/>
    </row>
    <row r="21">
      <c r="B21" s="285" t="inlineStr">
        <is>
          <t>LTO</t>
        </is>
      </c>
      <c r="C21" s="15" t="n"/>
      <c r="D21" s="57" t="n"/>
      <c r="E21" s="315" t="n"/>
      <c r="G21" s="285" t="inlineStr">
        <is>
          <t>LTO</t>
        </is>
      </c>
      <c r="H21" s="15" t="n"/>
      <c r="I21" s="315" t="n"/>
      <c r="K21" s="285" t="inlineStr">
        <is>
          <t>LTO</t>
        </is>
      </c>
      <c r="L21" s="15" t="n"/>
      <c r="M21" s="315" t="n"/>
    </row>
    <row r="22">
      <c r="B22" s="285" t="inlineStr">
        <is>
          <t>Egg Salad</t>
        </is>
      </c>
      <c r="C22" s="15" t="n"/>
      <c r="D22" s="57" t="n"/>
      <c r="E22" s="315" t="n"/>
      <c r="G22" s="285" t="inlineStr">
        <is>
          <t>Egg Salad</t>
        </is>
      </c>
      <c r="H22" s="15" t="n"/>
      <c r="I22" s="315" t="n"/>
      <c r="K22" s="285" t="inlineStr">
        <is>
          <t>EGG SAL</t>
        </is>
      </c>
      <c r="L22" s="15" t="n"/>
      <c r="M22" s="315" t="n"/>
    </row>
    <row r="23">
      <c r="A23" s="286" t="n"/>
      <c r="B23" s="285" t="inlineStr">
        <is>
          <t>Pimento Cheese</t>
        </is>
      </c>
      <c r="C23" s="15" t="n"/>
      <c r="D23" s="57" t="n"/>
      <c r="E23" s="315" t="n"/>
      <c r="F23" s="287" t="n"/>
      <c r="G23" s="285" t="inlineStr">
        <is>
          <t>Pimento Cheese</t>
        </is>
      </c>
      <c r="H23" s="15" t="n"/>
      <c r="I23" s="315" t="n"/>
      <c r="K23" s="285" t="inlineStr">
        <is>
          <t>PC</t>
        </is>
      </c>
      <c r="L23" s="15" t="n"/>
      <c r="M23" s="315" t="n"/>
    </row>
    <row r="24" ht="14.45" customHeight="1">
      <c r="A24" s="260" t="n"/>
      <c r="B24" s="288" t="inlineStr">
        <is>
          <t>Spicy P. Cheese</t>
        </is>
      </c>
      <c r="C24" s="196" t="n"/>
      <c r="D24" s="57" t="n"/>
      <c r="E24" s="315" t="n"/>
      <c r="F24" s="130" t="n"/>
      <c r="G24" s="285" t="inlineStr">
        <is>
          <t>Spicy P. Cheese</t>
        </is>
      </c>
      <c r="H24" s="15" t="n"/>
      <c r="I24" s="315" t="n"/>
      <c r="K24" s="285" t="inlineStr">
        <is>
          <t>SPC</t>
        </is>
      </c>
      <c r="L24" s="15" t="n"/>
      <c r="M24" s="315" t="n"/>
    </row>
    <row r="25" ht="14.45" customHeight="1">
      <c r="A25" s="260" t="n"/>
      <c r="B25" s="290" t="inlineStr">
        <is>
          <t>Broccoli Salad</t>
        </is>
      </c>
      <c r="C25" s="15" t="n"/>
      <c r="D25" s="57" t="n"/>
      <c r="E25" s="315" t="n"/>
      <c r="F25" s="130" t="n"/>
      <c r="G25" s="290" t="inlineStr">
        <is>
          <t>Broccoli Salad</t>
        </is>
      </c>
      <c r="H25" s="15" t="n"/>
      <c r="I25" s="315" t="n"/>
      <c r="K25" s="285" t="inlineStr">
        <is>
          <t>BROC SAL.</t>
        </is>
      </c>
      <c r="L25" s="15" t="n"/>
      <c r="M25" s="315" t="n"/>
    </row>
    <row r="26">
      <c r="A26" s="260" t="n"/>
      <c r="B26" s="290" t="inlineStr">
        <is>
          <t>Fresh Fruit</t>
        </is>
      </c>
      <c r="C26" s="15" t="n"/>
      <c r="D26" s="57" t="n"/>
      <c r="E26" s="315" t="n"/>
      <c r="F26" s="130" t="n"/>
      <c r="G26" s="290" t="inlineStr">
        <is>
          <t>Fresh Fruit</t>
        </is>
      </c>
      <c r="H26" s="15" t="n"/>
      <c r="I26" s="315" t="n"/>
      <c r="K26" s="285" t="inlineStr">
        <is>
          <t>FRES. FRUIT</t>
        </is>
      </c>
      <c r="L26" s="15" t="n"/>
      <c r="M26" s="315" t="n"/>
    </row>
    <row r="27">
      <c r="A27" s="260" t="n"/>
      <c r="B27" s="290" t="inlineStr">
        <is>
          <t>Grape Salad</t>
        </is>
      </c>
      <c r="C27" s="15" t="n"/>
      <c r="D27" s="57" t="n"/>
      <c r="E27" s="315" t="n"/>
      <c r="F27" s="130" t="n"/>
      <c r="G27" s="290" t="inlineStr">
        <is>
          <t>Grape Salad</t>
        </is>
      </c>
      <c r="H27" s="15" t="n"/>
      <c r="I27" s="315" t="n"/>
      <c r="K27" s="285" t="inlineStr">
        <is>
          <t>GRAPE SAL.</t>
        </is>
      </c>
      <c r="L27" s="15" t="n"/>
      <c r="M27" s="315" t="n"/>
    </row>
    <row r="28">
      <c r="A28" s="260" t="n"/>
      <c r="B28" s="290" t="inlineStr">
        <is>
          <t>Pasta Salad</t>
        </is>
      </c>
      <c r="C28" s="15" t="n"/>
      <c r="D28" s="57" t="n"/>
      <c r="E28" s="315" t="n"/>
      <c r="F28" s="130" t="n"/>
      <c r="G28" s="290" t="inlineStr">
        <is>
          <t>Pasta Salad</t>
        </is>
      </c>
      <c r="H28" s="15" t="n"/>
      <c r="I28" s="315" t="n"/>
      <c r="K28" s="285" t="inlineStr">
        <is>
          <t>PAST. SAL.</t>
        </is>
      </c>
      <c r="L28" s="15" t="n"/>
      <c r="M28" s="315" t="n"/>
    </row>
    <row r="29" ht="60.6" customHeight="1">
      <c r="B29" s="291" t="inlineStr">
        <is>
          <t xml:space="preserve">Count all chicken salad Quick Chicks by container.  Count Side Items by the 1/2 pan. </t>
        </is>
      </c>
      <c r="C29" s="418" t="n"/>
      <c r="D29" s="418" t="n"/>
      <c r="E29" s="418" t="n"/>
      <c r="F29" s="236" t="n"/>
      <c r="G29" s="291" t="inlineStr">
        <is>
          <t>Count mixed flavors in the line coolers, reach-ins, and walk-in by the pound. Count side items by the 1/2 pan.</t>
        </is>
      </c>
      <c r="H29" s="418" t="n"/>
      <c r="I29" s="418" t="n"/>
      <c r="K29" s="291" t="inlineStr">
        <is>
          <t>Count all waste in pounds.</t>
        </is>
      </c>
      <c r="L29" s="418" t="n"/>
      <c r="M29" s="418" t="n"/>
    </row>
    <row r="30" ht="3.95" customHeight="1">
      <c r="A30" s="270" t="n"/>
      <c r="H30" s="270" t="n"/>
    </row>
    <row r="31" ht="15.75" customHeight="1">
      <c r="C31" s="270" t="inlineStr">
        <is>
          <t>Todays Date:</t>
        </is>
      </c>
      <c r="H31" s="270" t="inlineStr">
        <is>
          <t>Color to Discard:</t>
        </is>
      </c>
    </row>
    <row r="32" ht="15.75" customHeight="1">
      <c r="C32" s="270" t="n"/>
      <c r="H32" s="270" t="inlineStr">
        <is>
          <t> </t>
        </is>
      </c>
    </row>
  </sheetData>
  <mergeCells count="75">
    <mergeCell ref="K16:L16"/>
    <mergeCell ref="G21:H21"/>
    <mergeCell ref="K25:L25"/>
    <mergeCell ref="B16:C16"/>
    <mergeCell ref="G12:H12"/>
    <mergeCell ref="B7:C7"/>
    <mergeCell ref="B25:C25"/>
    <mergeCell ref="K24:L24"/>
    <mergeCell ref="K15:L15"/>
    <mergeCell ref="G11:H11"/>
    <mergeCell ref="G27:H27"/>
    <mergeCell ref="K9:L9"/>
    <mergeCell ref="B22:C22"/>
    <mergeCell ref="G23:H23"/>
    <mergeCell ref="G8:H8"/>
    <mergeCell ref="B27:C27"/>
    <mergeCell ref="D2:J3"/>
    <mergeCell ref="B18:C18"/>
    <mergeCell ref="G17:H17"/>
    <mergeCell ref="K26:L26"/>
    <mergeCell ref="K21:L21"/>
    <mergeCell ref="B12:C12"/>
    <mergeCell ref="B29:E30"/>
    <mergeCell ref="B21:C21"/>
    <mergeCell ref="K11:L11"/>
    <mergeCell ref="K20:L20"/>
    <mergeCell ref="G22:H22"/>
    <mergeCell ref="B11:C11"/>
    <mergeCell ref="K29:M30"/>
    <mergeCell ref="G10:H10"/>
    <mergeCell ref="K5:M6"/>
    <mergeCell ref="B23:C23"/>
    <mergeCell ref="G19:H19"/>
    <mergeCell ref="K13:L13"/>
    <mergeCell ref="B14:C14"/>
    <mergeCell ref="G28:H28"/>
    <mergeCell ref="B17:C17"/>
    <mergeCell ref="G13:H13"/>
    <mergeCell ref="G29:I29"/>
    <mergeCell ref="K22:L22"/>
    <mergeCell ref="G18:H18"/>
    <mergeCell ref="B8:C8"/>
    <mergeCell ref="K7:M7"/>
    <mergeCell ref="B13:C13"/>
    <mergeCell ref="F23:F28"/>
    <mergeCell ref="K12:L12"/>
    <mergeCell ref="G24:H24"/>
    <mergeCell ref="K8:L8"/>
    <mergeCell ref="B19:C19"/>
    <mergeCell ref="G15:H15"/>
    <mergeCell ref="B10:C10"/>
    <mergeCell ref="B28:C28"/>
    <mergeCell ref="K27:L27"/>
    <mergeCell ref="G14:H14"/>
    <mergeCell ref="K23:L23"/>
    <mergeCell ref="B9:C9"/>
    <mergeCell ref="B5:E6"/>
    <mergeCell ref="K14:L14"/>
    <mergeCell ref="G26:H26"/>
    <mergeCell ref="A23:A28"/>
    <mergeCell ref="K17:L17"/>
    <mergeCell ref="B24:C24"/>
    <mergeCell ref="G20:H20"/>
    <mergeCell ref="B15:C15"/>
    <mergeCell ref="G16:H16"/>
    <mergeCell ref="B20:C20"/>
    <mergeCell ref="G25:H25"/>
    <mergeCell ref="K10:L10"/>
    <mergeCell ref="K28:L28"/>
    <mergeCell ref="G5:I6"/>
    <mergeCell ref="K19:L19"/>
    <mergeCell ref="B26:C26"/>
    <mergeCell ref="G9:H9"/>
    <mergeCell ref="G7:I7"/>
    <mergeCell ref="K18:L18"/>
  </mergeCells>
  <pageMargins left="0.25" right="0.25" top="0.75" bottom="0.75" header="0.3" footer="0.3"/>
  <pageSetup orientation="landscape" blackAndWhit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8"/>
  <sheetViews>
    <sheetView tabSelected="1" zoomScale="88" zoomScaleNormal="90" zoomScalePageLayoutView="90" workbookViewId="0">
      <selection activeCell="Q21" sqref="Q21"/>
    </sheetView>
  </sheetViews>
  <sheetFormatPr baseColWidth="8" defaultColWidth="8.85546875" defaultRowHeight="15"/>
  <cols>
    <col width="8.85546875" customWidth="1" min="2" max="2"/>
    <col width="6.42578125" bestFit="1" customWidth="1" min="3" max="3"/>
    <col width="12.140625" bestFit="1" customWidth="1" min="4" max="4"/>
    <col width="11.42578125" customWidth="1" min="5" max="5"/>
    <col width="4.85546875" customWidth="1" min="6" max="6"/>
    <col width="8.42578125" customWidth="1" min="8" max="8"/>
    <col width="7.42578125" bestFit="1" customWidth="1" min="9" max="9"/>
    <col width="11.42578125" customWidth="1" min="10" max="10"/>
    <col width="12.140625" customWidth="1" min="11" max="11"/>
    <col width="3.42578125" customWidth="1" min="12" max="12"/>
    <col width="4.85546875" customWidth="1" min="13" max="13"/>
    <col width="9" customWidth="1" min="15" max="15"/>
    <col width="6.42578125" bestFit="1" customWidth="1" min="16" max="16"/>
    <col width="8.42578125" bestFit="1" customWidth="1" min="17" max="17"/>
    <col width="14.42578125" customWidth="1" min="18" max="18"/>
    <col width="2.85546875" customWidth="1" min="19" max="19"/>
    <col width="8.42578125" customWidth="1" min="20" max="20"/>
    <col hidden="1" width="8.42578125" customWidth="1" min="21" max="22"/>
    <col hidden="1" width="5.140625" customWidth="1" min="23" max="23"/>
    <col hidden="1" width="8.140625" customWidth="1" min="24" max="24"/>
    <col hidden="1" width="9.28515625" customWidth="1" min="25" max="25"/>
    <col hidden="1" width="13.42578125" customWidth="1" min="26" max="26"/>
    <col width="13.42578125" customWidth="1" min="27" max="27"/>
  </cols>
  <sheetData>
    <row r="1" ht="15.75" customHeight="1" thickBot="1">
      <c r="A1" s="314" t="inlineStr">
        <is>
          <t>Next Day's Sales Forecast</t>
        </is>
      </c>
      <c r="K1" s="325" t="inlineStr">
        <is>
          <t>Day After Tomorrow's Sales Forecast</t>
        </is>
      </c>
      <c r="R1" s="327" t="n"/>
    </row>
    <row r="2" ht="22.5" customHeight="1" thickBot="1">
      <c r="A2" s="75" t="n"/>
      <c r="B2" s="75" t="n"/>
      <c r="C2" s="75" t="n"/>
      <c r="D2" s="75" t="n"/>
      <c r="E2" s="419" t="n">
        <v>4500</v>
      </c>
      <c r="K2" s="75" t="n"/>
      <c r="L2" s="75" t="n"/>
      <c r="M2" s="75" t="n"/>
      <c r="N2" s="75" t="n"/>
      <c r="O2" s="75" t="n"/>
      <c r="P2" s="75" t="n"/>
      <c r="Q2" s="75" t="n"/>
      <c r="R2" s="419" t="n">
        <v>4500</v>
      </c>
      <c r="S2" s="328" t="n"/>
    </row>
    <row r="3">
      <c r="A3" s="349" t="n"/>
      <c r="B3" s="349" t="n"/>
      <c r="C3" s="349" t="n"/>
      <c r="R3" s="327" t="n"/>
    </row>
    <row r="4" ht="25.5" customHeight="1" thickBot="1">
      <c r="A4" s="297" t="inlineStr">
        <is>
          <t>Small Quick Chick</t>
        </is>
      </c>
      <c r="G4" s="297" t="inlineStr">
        <is>
          <t>Large Quick Chick</t>
        </is>
      </c>
      <c r="N4" s="329" t="inlineStr">
        <is>
          <t>Line- (Any mixed flavors not in Quick Chick)</t>
        </is>
      </c>
      <c r="O4" s="252" t="n"/>
      <c r="P4" s="252" t="n"/>
      <c r="Q4" s="252" t="n"/>
      <c r="R4" s="252" t="n"/>
      <c r="S4" s="252" t="n"/>
      <c r="U4" s="297" t="inlineStr">
        <is>
          <t>Totals</t>
        </is>
      </c>
    </row>
    <row r="5">
      <c r="A5" s="278" t="inlineStr">
        <is>
          <t>Flavor</t>
        </is>
      </c>
      <c r="B5" s="416" t="n"/>
      <c r="C5" s="155" t="inlineStr">
        <is>
          <t>Par</t>
        </is>
      </c>
      <c r="D5" s="155" t="inlineStr">
        <is>
          <t>On Hand</t>
        </is>
      </c>
      <c r="E5" s="19" t="inlineStr">
        <is>
          <t>QC's to Prep</t>
        </is>
      </c>
      <c r="G5" s="278" t="inlineStr">
        <is>
          <t>Flavor</t>
        </is>
      </c>
      <c r="H5" s="416" t="n"/>
      <c r="I5" s="155" t="inlineStr">
        <is>
          <t>Par</t>
        </is>
      </c>
      <c r="J5" s="155" t="inlineStr">
        <is>
          <t>On Hand</t>
        </is>
      </c>
      <c r="K5" s="19" t="inlineStr">
        <is>
          <t>QC's to Prep</t>
        </is>
      </c>
      <c r="N5" s="301" t="inlineStr">
        <is>
          <t>Flavor</t>
        </is>
      </c>
      <c r="O5" s="416" t="n"/>
      <c r="P5" s="155" t="inlineStr">
        <is>
          <t>Par</t>
        </is>
      </c>
      <c r="Q5" s="155" t="inlineStr">
        <is>
          <t>On Hand</t>
        </is>
      </c>
      <c r="R5" s="279" t="inlineStr">
        <is>
          <t>#s to Prep</t>
        </is>
      </c>
      <c r="S5" s="416" t="n"/>
      <c r="U5" s="301" t="inlineStr">
        <is>
          <t>Flavor</t>
        </is>
      </c>
      <c r="V5" s="416" t="n"/>
      <c r="W5" s="155" t="inlineStr">
        <is>
          <t>Par</t>
        </is>
      </c>
      <c r="X5" s="155" t="inlineStr">
        <is>
          <t>On Hand</t>
        </is>
      </c>
      <c r="Y5" s="279" t="inlineStr">
        <is>
          <t>#s to Prep</t>
        </is>
      </c>
      <c r="Z5" s="33" t="n"/>
    </row>
    <row r="6">
      <c r="A6" s="285" t="inlineStr">
        <is>
          <t>Barbie Q</t>
        </is>
      </c>
      <c r="B6" s="15" t="n"/>
      <c r="C6" s="298" t="n">
        <v>2</v>
      </c>
      <c r="D6" s="239" t="n">
        <v>0</v>
      </c>
      <c r="E6" s="298">
        <f>IF('All Data'!J11&lt;0,0,'All Data'!J11)</f>
        <v/>
      </c>
      <c r="G6" s="285" t="inlineStr">
        <is>
          <t>Barbie Q</t>
        </is>
      </c>
      <c r="H6" s="15" t="n"/>
      <c r="I6" s="298" t="n">
        <v>2</v>
      </c>
      <c r="J6" s="239" t="n">
        <v>0</v>
      </c>
      <c r="K6" s="298">
        <f>IF('All Data'!I30&lt;0,0,'All Data'!I30)</f>
        <v/>
      </c>
      <c r="N6" s="285" t="inlineStr">
        <is>
          <t>Barbie Q</t>
        </is>
      </c>
      <c r="O6" s="15" t="n"/>
      <c r="P6" s="298" t="n">
        <v>2</v>
      </c>
      <c r="Q6" s="239" t="n">
        <v>0</v>
      </c>
      <c r="R6" s="298">
        <f>IF('All Data'!J51&lt;0,0,'All Data'!J51)</f>
        <v/>
      </c>
      <c r="S6" s="15" t="n"/>
      <c r="U6" s="285" t="inlineStr">
        <is>
          <t>Barbie Q</t>
        </is>
      </c>
      <c r="V6" s="15" t="n"/>
      <c r="W6" s="298">
        <f>(C6*0.5)+I6+P6</f>
        <v/>
      </c>
      <c r="X6" s="298">
        <f>(D6*0.5)+J6+Q6</f>
        <v/>
      </c>
      <c r="Y6" s="298">
        <f>ROUNDUP(IF((W6-X6)&lt;0,0,(W6-X6))+C25,0)</f>
        <v/>
      </c>
      <c r="Z6" s="33" t="n"/>
    </row>
    <row r="7">
      <c r="A7" s="285" t="inlineStr">
        <is>
          <t>Buffalo Barclay</t>
        </is>
      </c>
      <c r="B7" s="15" t="n"/>
      <c r="C7" s="298" t="n">
        <v>3</v>
      </c>
      <c r="D7" s="239" t="n">
        <v>3</v>
      </c>
      <c r="E7" s="298">
        <f>IF('All Data'!J12&lt;0,0,'All Data'!J12)</f>
        <v/>
      </c>
      <c r="G7" s="285" t="inlineStr">
        <is>
          <t>Buffalo Barclay</t>
        </is>
      </c>
      <c r="H7" s="15" t="n"/>
      <c r="I7" s="298" t="n">
        <v>2</v>
      </c>
      <c r="J7" s="239" t="n">
        <v>3</v>
      </c>
      <c r="K7" s="298">
        <f>IF('All Data'!I31&lt;0,0,'All Data'!I31)</f>
        <v/>
      </c>
      <c r="N7" s="285" t="inlineStr">
        <is>
          <t>Buffalo Barclay</t>
        </is>
      </c>
      <c r="O7" s="15" t="n"/>
      <c r="P7" s="298" t="n">
        <v>3</v>
      </c>
      <c r="Q7" s="239" t="n">
        <v>0</v>
      </c>
      <c r="R7" s="298">
        <f>IF('All Data'!J52&lt;0,0,'All Data'!J52)</f>
        <v/>
      </c>
      <c r="S7" s="15" t="n"/>
      <c r="U7" s="285" t="inlineStr">
        <is>
          <t>Buffalo Barclay</t>
        </is>
      </c>
      <c r="V7" s="15" t="n"/>
      <c r="W7" s="298">
        <f>(C7*0.5)+I7+P7</f>
        <v/>
      </c>
      <c r="X7" s="298">
        <f>(D7*0.5)+J7+Q7</f>
        <v/>
      </c>
      <c r="Y7" s="298">
        <f>ROUNDUP(IF((W7-X7)&lt;0,0,(W7-X7))+C26,0)</f>
        <v/>
      </c>
      <c r="Z7" s="32" t="n"/>
    </row>
    <row r="8">
      <c r="A8" s="285" t="inlineStr">
        <is>
          <t>Classic Carol</t>
        </is>
      </c>
      <c r="B8" s="15" t="n"/>
      <c r="C8" s="310" t="n">
        <v>9</v>
      </c>
      <c r="D8" s="239" t="n">
        <v>0</v>
      </c>
      <c r="E8" s="310">
        <f>IF('All Data'!J13&lt;0,0,'All Data'!J13)</f>
        <v/>
      </c>
      <c r="G8" s="285" t="inlineStr">
        <is>
          <t>Classic Carol</t>
        </is>
      </c>
      <c r="H8" s="15" t="n"/>
      <c r="I8" s="310" t="n">
        <v>12</v>
      </c>
      <c r="J8" s="239" t="n">
        <v>0</v>
      </c>
      <c r="K8" s="310">
        <f>IF('All Data'!I32&lt;0,0,'All Data'!I32)</f>
        <v/>
      </c>
      <c r="N8" s="285" t="inlineStr">
        <is>
          <t>Classic Carol</t>
        </is>
      </c>
      <c r="O8" s="15" t="n"/>
      <c r="P8" s="298" t="n">
        <v>7</v>
      </c>
      <c r="Q8" s="239" t="n">
        <v>0</v>
      </c>
      <c r="R8" s="420">
        <f>IF('All Data'!J53&lt;0,0,'All Data'!J53)</f>
        <v/>
      </c>
      <c r="S8" s="15" t="n"/>
      <c r="U8" s="285" t="inlineStr">
        <is>
          <t>Classic Carol</t>
        </is>
      </c>
      <c r="V8" s="15" t="n"/>
      <c r="W8" s="298">
        <f>(C8*0.5)+I8+P8</f>
        <v/>
      </c>
      <c r="X8" s="298">
        <f>(D8*0.5)+J8+Q8</f>
        <v/>
      </c>
      <c r="Y8" s="310">
        <f>ROUNDUP(IF((W8-X8)&lt;0,0,(W8-X8))+C27,0)</f>
        <v/>
      </c>
    </row>
    <row r="9">
      <c r="A9" s="285" t="inlineStr">
        <is>
          <t>Cranberry Kelli</t>
        </is>
      </c>
      <c r="B9" s="15" t="n"/>
      <c r="C9" s="310" t="n">
        <v>6</v>
      </c>
      <c r="D9" s="239" t="n">
        <v>0</v>
      </c>
      <c r="E9" s="310">
        <f>IF('All Data'!J14&lt;0,0,'All Data'!J14)</f>
        <v/>
      </c>
      <c r="G9" s="285" t="inlineStr">
        <is>
          <t>Cranberry Kelli</t>
        </is>
      </c>
      <c r="H9" s="15" t="n"/>
      <c r="I9" s="310" t="n">
        <v>6</v>
      </c>
      <c r="J9" s="239" t="n">
        <v>0</v>
      </c>
      <c r="K9" s="310">
        <f>IF('All Data'!I33&lt;0,0,'All Data'!I33)</f>
        <v/>
      </c>
      <c r="N9" s="285" t="inlineStr">
        <is>
          <t>Cranberry Kelli</t>
        </is>
      </c>
      <c r="O9" s="15" t="n"/>
      <c r="P9" s="298" t="n">
        <v>4</v>
      </c>
      <c r="Q9" s="239" t="n">
        <v>0</v>
      </c>
      <c r="R9" s="420">
        <f>IF('All Data'!J54&lt;0,0,'All Data'!J54)</f>
        <v/>
      </c>
      <c r="S9" s="15" t="n"/>
      <c r="U9" s="285" t="inlineStr">
        <is>
          <t>Cranberry Kelli</t>
        </is>
      </c>
      <c r="V9" s="15" t="n"/>
      <c r="W9" s="298">
        <f>(C9*0.5)+I9+P9</f>
        <v/>
      </c>
      <c r="X9" s="298">
        <f>(D9*0.5)+J9+Q9</f>
        <v/>
      </c>
      <c r="Y9" s="310">
        <f>ROUNDUP(IF((W9-X9)&lt;0,0,(W9-X9))+C28,0)</f>
        <v/>
      </c>
    </row>
    <row r="10">
      <c r="A10" s="285" t="inlineStr">
        <is>
          <t>Dixie Chick</t>
        </is>
      </c>
      <c r="B10" s="15" t="n"/>
      <c r="C10" s="310" t="n">
        <v>4</v>
      </c>
      <c r="D10" s="239" t="n">
        <v>0</v>
      </c>
      <c r="E10" s="310">
        <f>IF('All Data'!J15&lt;0,0,'All Data'!J15)</f>
        <v/>
      </c>
      <c r="G10" s="285" t="inlineStr">
        <is>
          <t>Dixie Chick</t>
        </is>
      </c>
      <c r="H10" s="15" t="n"/>
      <c r="I10" s="310" t="n">
        <v>4</v>
      </c>
      <c r="J10" s="239" t="n">
        <v>0</v>
      </c>
      <c r="K10" s="310">
        <f>IF('All Data'!I34&lt;0,0,'All Data'!I34)</f>
        <v/>
      </c>
      <c r="N10" s="285" t="inlineStr">
        <is>
          <t>Dixie Chick</t>
        </is>
      </c>
      <c r="O10" s="15" t="n"/>
      <c r="P10" s="298" t="n">
        <v>3</v>
      </c>
      <c r="Q10" s="239" t="n">
        <v>0</v>
      </c>
      <c r="R10" s="420">
        <f>IF('All Data'!J55&lt;0,0,'All Data'!J55)</f>
        <v/>
      </c>
      <c r="S10" s="15" t="n"/>
      <c r="U10" s="285" t="inlineStr">
        <is>
          <t>Dixie Chick</t>
        </is>
      </c>
      <c r="V10" s="15" t="n"/>
      <c r="W10" s="298">
        <f>(C10*0.5)+I10+P10</f>
        <v/>
      </c>
      <c r="X10" s="298">
        <f>(D10*0.5)+J10+Q10</f>
        <v/>
      </c>
      <c r="Y10" s="310">
        <f>ROUNDUP(IF((W10-X10)&lt;0,0,(W10-X10))+C29,0)</f>
        <v/>
      </c>
    </row>
    <row r="11">
      <c r="A11" s="285" t="inlineStr">
        <is>
          <t>Fancy Nancy</t>
        </is>
      </c>
      <c r="B11" s="15" t="n"/>
      <c r="C11" s="310" t="n">
        <v>9</v>
      </c>
      <c r="D11" s="239" t="n">
        <v>0</v>
      </c>
      <c r="E11" s="310">
        <f>IF('All Data'!J16&lt;0,0,'All Data'!J16)</f>
        <v/>
      </c>
      <c r="G11" s="285" t="inlineStr">
        <is>
          <t>Fancy Nancy</t>
        </is>
      </c>
      <c r="H11" s="15" t="n"/>
      <c r="I11" s="310" t="n">
        <v>13</v>
      </c>
      <c r="J11" s="239" t="n">
        <v>0</v>
      </c>
      <c r="K11" s="310">
        <f>IF('All Data'!I35&lt;0,0,'All Data'!I35)</f>
        <v/>
      </c>
      <c r="N11" s="285" t="inlineStr">
        <is>
          <t>Fancy Nancy</t>
        </is>
      </c>
      <c r="O11" s="15" t="n"/>
      <c r="P11" s="298" t="n">
        <v>7</v>
      </c>
      <c r="Q11" s="239" t="n">
        <v>0</v>
      </c>
      <c r="R11" s="420">
        <f>IF('All Data'!J56&lt;0,0,'All Data'!J56)</f>
        <v/>
      </c>
      <c r="S11" s="15" t="n"/>
      <c r="U11" s="285" t="inlineStr">
        <is>
          <t>Fancy Nancy</t>
        </is>
      </c>
      <c r="V11" s="15" t="n"/>
      <c r="W11" s="298">
        <f>(C11*0.5)+I11+P11</f>
        <v/>
      </c>
      <c r="X11" s="298">
        <f>(D11*0.5)+J11+Q11</f>
        <v/>
      </c>
      <c r="Y11" s="310">
        <f>ROUNDUP(IF((W11-X11)&lt;0,0,(W11-X11))+C30,0)</f>
        <v/>
      </c>
    </row>
    <row r="12">
      <c r="A12" s="285" t="inlineStr">
        <is>
          <t>Fruity Fran</t>
        </is>
      </c>
      <c r="B12" s="15" t="n"/>
      <c r="C12" s="310" t="n">
        <v>4</v>
      </c>
      <c r="D12" s="239" t="n">
        <v>0</v>
      </c>
      <c r="E12" s="310">
        <f>IF('All Data'!J17&lt;0,0,'All Data'!J17)</f>
        <v/>
      </c>
      <c r="G12" s="285" t="inlineStr">
        <is>
          <t>Fruity Fran</t>
        </is>
      </c>
      <c r="H12" s="15" t="n"/>
      <c r="I12" s="310" t="n">
        <v>4</v>
      </c>
      <c r="J12" s="239" t="n">
        <v>0</v>
      </c>
      <c r="K12" s="310">
        <f>IF('All Data'!I36&lt;0,0,'All Data'!I36)</f>
        <v/>
      </c>
      <c r="N12" s="285" t="inlineStr">
        <is>
          <t>Fruity Fran</t>
        </is>
      </c>
      <c r="O12" s="15" t="n"/>
      <c r="P12" s="298" t="n">
        <v>3</v>
      </c>
      <c r="Q12" s="239" t="n">
        <v>0</v>
      </c>
      <c r="R12" s="420">
        <f>IF('All Data'!J57&lt;0,0,'All Data'!J57)</f>
        <v/>
      </c>
      <c r="S12" s="15" t="n"/>
      <c r="U12" s="285" t="inlineStr">
        <is>
          <t>Fruity Fran</t>
        </is>
      </c>
      <c r="V12" s="15" t="n"/>
      <c r="W12" s="298">
        <f>(C12*0.5)+I12+P12</f>
        <v/>
      </c>
      <c r="X12" s="298">
        <f>(D12*0.5)+J12+Q12</f>
        <v/>
      </c>
      <c r="Y12" s="310">
        <f>ROUNDUP(IF((W12-X12)&lt;0,0,(W12-X12))+C31,0)</f>
        <v/>
      </c>
    </row>
    <row r="13">
      <c r="A13" s="285" t="inlineStr">
        <is>
          <t>Jalapeño Holly</t>
        </is>
      </c>
      <c r="B13" s="15" t="n"/>
      <c r="C13" s="310" t="n">
        <v>5</v>
      </c>
      <c r="D13" s="239" t="n">
        <v>0</v>
      </c>
      <c r="E13" s="310">
        <f>IF('All Data'!J18&lt;0,0,'All Data'!J18)</f>
        <v/>
      </c>
      <c r="G13" s="285" t="inlineStr">
        <is>
          <t>Jalapeño Holly</t>
        </is>
      </c>
      <c r="H13" s="15" t="n"/>
      <c r="I13" s="310" t="n">
        <v>5</v>
      </c>
      <c r="J13" s="239" t="n">
        <v>0</v>
      </c>
      <c r="K13" s="310">
        <f>IF('All Data'!I37&lt;0,0,'All Data'!I37)</f>
        <v/>
      </c>
      <c r="N13" s="285" t="inlineStr">
        <is>
          <t>Jalapeño Holly</t>
        </is>
      </c>
      <c r="O13" s="15" t="n"/>
      <c r="P13" s="298" t="n">
        <v>4</v>
      </c>
      <c r="Q13" s="239" t="n">
        <v>0</v>
      </c>
      <c r="R13" s="298">
        <f>IF('All Data'!J58&lt;0,0,'All Data'!J58)</f>
        <v/>
      </c>
      <c r="S13" s="15" t="n"/>
      <c r="U13" s="285" t="inlineStr">
        <is>
          <t>Jalapeño Holly</t>
        </is>
      </c>
      <c r="V13" s="15" t="n"/>
      <c r="W13" s="298">
        <f>(C13*0.5)+I13+P13</f>
        <v/>
      </c>
      <c r="X13" s="298">
        <f>(D13*0.5)+J13+Q13</f>
        <v/>
      </c>
      <c r="Y13" s="310">
        <f>ROUNDUP(IF((W13-X13)&lt;0,0,(W13-X13))+C32,0)</f>
        <v/>
      </c>
    </row>
    <row r="14">
      <c r="A14" s="285" t="inlineStr">
        <is>
          <t>Kickin Kay Lynne</t>
        </is>
      </c>
      <c r="B14" s="15" t="n"/>
      <c r="C14" s="310" t="n">
        <v>2</v>
      </c>
      <c r="D14" s="239" t="n">
        <v>0</v>
      </c>
      <c r="E14" s="310">
        <f>IF('All Data'!J19&lt;0,0,'All Data'!J19)</f>
        <v/>
      </c>
      <c r="G14" s="285" t="inlineStr">
        <is>
          <t>Kickin Kay Lynne</t>
        </is>
      </c>
      <c r="H14" s="15" t="n"/>
      <c r="I14" s="310" t="n">
        <v>2</v>
      </c>
      <c r="J14" s="239" t="n">
        <v>0</v>
      </c>
      <c r="K14" s="310">
        <f>IF('All Data'!I38&lt;0,0,'All Data'!I38)</f>
        <v/>
      </c>
      <c r="N14" s="285" t="inlineStr">
        <is>
          <t>Kickin Kay Lynne</t>
        </is>
      </c>
      <c r="O14" s="15" t="n"/>
      <c r="P14" s="298" t="n">
        <v>3</v>
      </c>
      <c r="Q14" s="239" t="n">
        <v>0</v>
      </c>
      <c r="R14" s="420">
        <f>IF('All Data'!J59&lt;0,0,'All Data'!J59)</f>
        <v/>
      </c>
      <c r="S14" s="15" t="n"/>
      <c r="U14" s="285" t="inlineStr">
        <is>
          <t>Kickin Kay Lynne</t>
        </is>
      </c>
      <c r="V14" s="15" t="n"/>
      <c r="W14" s="298">
        <f>(C14*0.5)+I14+P14</f>
        <v/>
      </c>
      <c r="X14" s="298">
        <f>(D14*0.5)+J14+Q14</f>
        <v/>
      </c>
      <c r="Y14" s="310">
        <f>ROUNDUP(IF((W14-X14)&lt;0,0,(W14-X14))+C33,0)</f>
        <v/>
      </c>
    </row>
    <row r="15">
      <c r="A15" s="315" t="inlineStr">
        <is>
          <t>Lauryn's L. Basil</t>
        </is>
      </c>
      <c r="B15" s="315" t="n"/>
      <c r="C15" s="310" t="n">
        <v>3</v>
      </c>
      <c r="D15" s="239" t="n">
        <v>0</v>
      </c>
      <c r="E15" s="310">
        <f>IF('All Data'!J20&lt;0,0,'All Data'!J20)</f>
        <v/>
      </c>
      <c r="G15" s="285" t="inlineStr">
        <is>
          <t>Lauryn's L. Basil</t>
        </is>
      </c>
      <c r="H15" s="15" t="n"/>
      <c r="I15" s="310" t="n">
        <v>3</v>
      </c>
      <c r="J15" s="239" t="n">
        <v>0</v>
      </c>
      <c r="K15" s="310">
        <f>IF('All Data'!I39&lt;0,0,'All Data'!I39)</f>
        <v/>
      </c>
      <c r="N15" s="285" t="inlineStr">
        <is>
          <t>Lauryn's L. Basil</t>
        </is>
      </c>
      <c r="O15" s="15" t="n"/>
      <c r="P15" s="298" t="n">
        <v>3</v>
      </c>
      <c r="Q15" s="239" t="n">
        <v>0</v>
      </c>
      <c r="R15" s="420">
        <f>IF('All Data'!J60&lt;0,0,'All Data'!J60)</f>
        <v/>
      </c>
      <c r="S15" s="15" t="n"/>
      <c r="U15" s="285" t="inlineStr">
        <is>
          <t>Lauryn's L. Basil</t>
        </is>
      </c>
      <c r="V15" s="15" t="n"/>
      <c r="W15" s="298">
        <f>(C15*0.5)+I15+P15</f>
        <v/>
      </c>
      <c r="X15" s="298">
        <f>(D15*0.5)+J15+Q15</f>
        <v/>
      </c>
      <c r="Y15" s="310">
        <f>ROUNDUP(IF((W15-X15)&lt;0,0,(W15-X15))+C34,0)</f>
        <v/>
      </c>
    </row>
    <row r="16">
      <c r="A16" s="285" t="inlineStr">
        <is>
          <t>Local Flavor</t>
        </is>
      </c>
      <c r="B16" s="15" t="n"/>
      <c r="C16" s="310">
        <f>ROUNDUP(((($E$2*1.35)/100)*'All Data'!I21),0)</f>
        <v/>
      </c>
      <c r="D16" s="239" t="n">
        <v>0</v>
      </c>
      <c r="E16" s="310">
        <f>IF('All Data'!J21&lt;0,0,'All Data'!J21)</f>
        <v/>
      </c>
      <c r="G16" s="285" t="inlineStr">
        <is>
          <t>Local Flavor</t>
        </is>
      </c>
      <c r="H16" s="15" t="n"/>
      <c r="I16" s="310">
        <f>ROUNDUP(((($E$2*1.35)/100)*'All Data'!H40),0)</f>
        <v/>
      </c>
      <c r="J16" s="239" t="n">
        <v>0</v>
      </c>
      <c r="K16" s="310">
        <f>IF('All Data'!I40&lt;0,0,'All Data'!I40)</f>
        <v/>
      </c>
      <c r="N16" s="285" t="inlineStr">
        <is>
          <t>Local Flavor</t>
        </is>
      </c>
      <c r="O16" s="15" t="n"/>
      <c r="P16" s="298">
        <f>ROUNDUP(((($E$2*1.35)/100)*'All Data'!I61),0)</f>
        <v/>
      </c>
      <c r="Q16" s="239" t="n">
        <v>0</v>
      </c>
      <c r="R16" s="298">
        <f>IF('All Data'!J61&lt;0,0,'All Data'!J61)</f>
        <v/>
      </c>
      <c r="S16" s="15" t="n"/>
      <c r="U16" s="285" t="inlineStr">
        <is>
          <t>Local Flavor</t>
        </is>
      </c>
      <c r="V16" s="15" t="n"/>
      <c r="W16" s="298">
        <f>(C16*0.5)+I16+P16</f>
        <v/>
      </c>
      <c r="X16" s="298">
        <f>(D16*0.5)+J16+Q16</f>
        <v/>
      </c>
      <c r="Y16" s="310">
        <f>ROUNDUP(IF((W16-X16)&lt;0,0,(W16-X16))+C35,0)</f>
        <v/>
      </c>
    </row>
    <row r="17">
      <c r="A17" s="285" t="inlineStr">
        <is>
          <t>Olivia's Old South</t>
        </is>
      </c>
      <c r="B17" s="15" t="n"/>
      <c r="C17" s="310" t="n">
        <v>4</v>
      </c>
      <c r="D17" s="239" t="n">
        <v>0</v>
      </c>
      <c r="E17" s="310">
        <f>IF('All Data'!J22&lt;0,0,'All Data'!J22)</f>
        <v/>
      </c>
      <c r="G17" s="285" t="inlineStr">
        <is>
          <t>Olivia's Old South</t>
        </is>
      </c>
      <c r="H17" s="15" t="n"/>
      <c r="I17" s="310" t="n">
        <v>4</v>
      </c>
      <c r="J17" s="239" t="n">
        <v>0</v>
      </c>
      <c r="K17" s="310">
        <f>IF('All Data'!I41&lt;0,0,'All Data'!I41)</f>
        <v/>
      </c>
      <c r="N17" s="285" t="inlineStr">
        <is>
          <t>Olivia's Old South</t>
        </is>
      </c>
      <c r="O17" s="15" t="n"/>
      <c r="P17" s="298" t="n">
        <v>3</v>
      </c>
      <c r="Q17" s="239" t="n">
        <v>0</v>
      </c>
      <c r="R17" s="298">
        <f>IF('All Data'!J62&lt;0,0,'All Data'!J62)</f>
        <v/>
      </c>
      <c r="S17" s="15" t="n"/>
      <c r="U17" s="285" t="inlineStr">
        <is>
          <t>Olivia's Old South</t>
        </is>
      </c>
      <c r="V17" s="15" t="n"/>
      <c r="W17" s="298">
        <f>(C17*0.5)+I17+P17</f>
        <v/>
      </c>
      <c r="X17" s="298">
        <f>(D17*0.5)+J17+Q17</f>
        <v/>
      </c>
      <c r="Y17" s="310">
        <f>ROUNDUP(IF((W17-X17)&lt;0,0,(W17-X17))+C36,0)</f>
        <v/>
      </c>
    </row>
    <row r="18">
      <c r="A18" s="285" t="inlineStr">
        <is>
          <t>Sassy Scotty</t>
        </is>
      </c>
      <c r="B18" s="15" t="n"/>
      <c r="C18" s="310" t="n">
        <v>5</v>
      </c>
      <c r="D18" s="239" t="n">
        <v>0</v>
      </c>
      <c r="E18" s="310">
        <f>IF('All Data'!J23&lt;0,0,'All Data'!J23)</f>
        <v/>
      </c>
      <c r="G18" s="285" t="inlineStr">
        <is>
          <t>Sassy Scotty</t>
        </is>
      </c>
      <c r="H18" s="15" t="n"/>
      <c r="I18" s="310" t="n">
        <v>5</v>
      </c>
      <c r="J18" s="239" t="n">
        <v>0</v>
      </c>
      <c r="K18" s="310">
        <f>IF('All Data'!I42&lt;0,0,'All Data'!I42)</f>
        <v/>
      </c>
      <c r="N18" s="285" t="inlineStr">
        <is>
          <t>Sassy Scotty</t>
        </is>
      </c>
      <c r="O18" s="15" t="n"/>
      <c r="P18" s="298" t="n">
        <v>4</v>
      </c>
      <c r="Q18" s="239" t="n">
        <v>0</v>
      </c>
      <c r="R18" s="298">
        <f>IF('All Data'!J63&lt;0,0,'All Data'!J63)</f>
        <v/>
      </c>
      <c r="S18" s="15" t="n"/>
      <c r="U18" s="285" t="inlineStr">
        <is>
          <t>Sassy Scotty</t>
        </is>
      </c>
      <c r="V18" s="15" t="n"/>
      <c r="W18" s="298">
        <f>(C18*0.5)+I18+P18</f>
        <v/>
      </c>
      <c r="X18" s="298">
        <f>(D18*0.5)+J18+Q18</f>
        <v/>
      </c>
      <c r="Y18" s="310">
        <f>ROUNDUP(IF((W18-X18)&lt;0,0,(W18-X18))+C37,0)</f>
        <v/>
      </c>
    </row>
    <row r="19">
      <c r="A19" s="285" t="inlineStr">
        <is>
          <t>LTO</t>
        </is>
      </c>
      <c r="B19" s="15" t="n"/>
      <c r="C19" s="310">
        <f>ROUNDUP(((($E$2*1.35)/100)*'All Data'!I24),0)</f>
        <v/>
      </c>
      <c r="D19" s="239" t="n">
        <v>0</v>
      </c>
      <c r="E19" s="310">
        <f>IF('All Data'!J24&lt;0,0,'All Data'!J24)</f>
        <v/>
      </c>
      <c r="G19" s="285" t="inlineStr">
        <is>
          <t>LTO</t>
        </is>
      </c>
      <c r="H19" s="15" t="n"/>
      <c r="I19" s="310">
        <f>ROUNDUP(((($E$2*1.35)/100)*'All Data'!H43),0)</f>
        <v/>
      </c>
      <c r="J19" s="239" t="n">
        <v>0</v>
      </c>
      <c r="K19" s="310">
        <f>IF('All Data'!I43&lt;0,0,'All Data'!I43)</f>
        <v/>
      </c>
      <c r="N19" s="285" t="inlineStr">
        <is>
          <t>LTO</t>
        </is>
      </c>
      <c r="O19" s="15" t="n"/>
      <c r="P19" s="298">
        <f>ROUNDUP(((($E$2*1.35)/100)*'All Data'!I64),0)</f>
        <v/>
      </c>
      <c r="Q19" s="239" t="n">
        <v>0</v>
      </c>
      <c r="R19" s="298">
        <f>IF('All Data'!J64&lt;0,0,'All Data'!J64)</f>
        <v/>
      </c>
      <c r="S19" s="15" t="n"/>
      <c r="U19" s="285" t="inlineStr">
        <is>
          <t>LTO</t>
        </is>
      </c>
      <c r="V19" s="15" t="n"/>
      <c r="W19" s="298">
        <f>(C19*0.5)+I19+P19</f>
        <v/>
      </c>
      <c r="X19" s="298">
        <f>(D19*0.5)+J19+Q19</f>
        <v/>
      </c>
      <c r="Y19" s="310">
        <f>ROUNDUP(IF((W19-X19)&lt;0,0,(W19-X19))+C38,0)</f>
        <v/>
      </c>
    </row>
    <row r="20">
      <c r="A20" s="285" t="inlineStr">
        <is>
          <t>Egg Salad</t>
        </is>
      </c>
      <c r="B20" s="15" t="n"/>
      <c r="C20" s="310">
        <f>ROUNDUP(((($E$2*1.35)/100)*'All Data'!I25),0)</f>
        <v/>
      </c>
      <c r="D20" s="239" t="n">
        <v>0</v>
      </c>
      <c r="E20" s="310">
        <f>IF('All Data'!J25&lt;0,0,'All Data'!J25)</f>
        <v/>
      </c>
      <c r="G20" s="285" t="inlineStr">
        <is>
          <t>Egg Salad</t>
        </is>
      </c>
      <c r="H20" s="15" t="n"/>
      <c r="I20" s="310">
        <f>ROUNDUP(((($E$2*1.35)/100)*'All Data'!H44),0)</f>
        <v/>
      </c>
      <c r="J20" s="239" t="n">
        <v>0</v>
      </c>
      <c r="K20" s="310">
        <f>IF('All Data'!I44&lt;0,0,'All Data'!I44)</f>
        <v/>
      </c>
      <c r="N20" s="285" t="inlineStr">
        <is>
          <t>Egg Salad</t>
        </is>
      </c>
      <c r="O20" s="15" t="n"/>
      <c r="P20" s="298">
        <f>ROUNDUP(((($E$2*1.35)/100)*'All Data'!I65),0)</f>
        <v/>
      </c>
      <c r="Q20" s="239" t="n">
        <v>0</v>
      </c>
      <c r="R20" s="298">
        <f>IF('All Data'!J65&lt;0,0,'All Data'!J65)</f>
        <v/>
      </c>
      <c r="S20" s="15" t="n"/>
      <c r="U20" s="285" t="inlineStr">
        <is>
          <t>Egg Salad</t>
        </is>
      </c>
      <c r="V20" s="15" t="n"/>
      <c r="W20" s="298">
        <f>(C20*0.5)+I20+P20</f>
        <v/>
      </c>
      <c r="X20" s="298">
        <f>(D20*0.5)+J20+Q20</f>
        <v/>
      </c>
      <c r="Y20" s="310">
        <f>ROUNDUP(IF((W20-X20)&lt;0,0,(W20-X20))+C39,0)</f>
        <v/>
      </c>
    </row>
    <row r="21">
      <c r="A21" s="285" t="inlineStr">
        <is>
          <t>Pimento Cheese</t>
        </is>
      </c>
      <c r="B21" s="15" t="n"/>
      <c r="C21" s="310">
        <f>ROUNDUP(((($E$2*1.35)/100)*'All Data'!I26),0)</f>
        <v/>
      </c>
      <c r="D21" s="239" t="n">
        <v>0</v>
      </c>
      <c r="E21" s="310">
        <f>IF('All Data'!J26&lt;0,0,'All Data'!J26)</f>
        <v/>
      </c>
      <c r="G21" s="285" t="inlineStr">
        <is>
          <t>Pimento Cheese</t>
        </is>
      </c>
      <c r="H21" s="15" t="n"/>
      <c r="I21" s="310">
        <f>ROUNDUP(((($E$2*1.35)/100)*'All Data'!H45),0)</f>
        <v/>
      </c>
      <c r="J21" s="239" t="n">
        <v>0</v>
      </c>
      <c r="K21" s="310">
        <f>IF('All Data'!I45&lt;0,0,'All Data'!I45)</f>
        <v/>
      </c>
      <c r="N21" s="285" t="inlineStr">
        <is>
          <t>Pimento Cheese</t>
        </is>
      </c>
      <c r="O21" s="15" t="n"/>
      <c r="P21" s="298">
        <f>ROUNDUP(((($E$2*1.35)/100)*'All Data'!I66),0)</f>
        <v/>
      </c>
      <c r="Q21" s="239" t="n">
        <v>0</v>
      </c>
      <c r="R21" s="420">
        <f>IF('All Data'!J66&lt;0,0,'All Data'!J66)</f>
        <v/>
      </c>
      <c r="S21" s="15" t="n"/>
      <c r="U21" s="285" t="inlineStr">
        <is>
          <t>Pimento Cheese</t>
        </is>
      </c>
      <c r="V21" s="15" t="n"/>
      <c r="W21" s="298">
        <f>(C21*0.5)+I21+P21</f>
        <v/>
      </c>
      <c r="X21" s="298">
        <f>(D21*0.5)+J21+Q21</f>
        <v/>
      </c>
      <c r="Y21" s="310">
        <f>ROUNDUP(IF((W21-X21)&lt;0,0,(W21-X21))+C40,0)</f>
        <v/>
      </c>
    </row>
    <row r="22">
      <c r="A22" s="285" t="inlineStr">
        <is>
          <t>Spicy P. Cheese</t>
        </is>
      </c>
      <c r="B22" s="15" t="n"/>
      <c r="C22" s="310">
        <f>ROUNDUP(((($E$2*1.35)/100)*'All Data'!I27),0)</f>
        <v/>
      </c>
      <c r="D22" s="239" t="n">
        <v>0</v>
      </c>
      <c r="E22" s="310">
        <f>IF('All Data'!J27&lt;0,0,'All Data'!J27)</f>
        <v/>
      </c>
      <c r="G22" s="285" t="inlineStr">
        <is>
          <t>Spicy P. Cheese</t>
        </is>
      </c>
      <c r="H22" s="15" t="n"/>
      <c r="I22" s="310">
        <f>ROUNDUP(((($E$2*1.35)/100)*'All Data'!H46),0)</f>
        <v/>
      </c>
      <c r="J22" s="239" t="n">
        <v>0</v>
      </c>
      <c r="K22" s="310">
        <f>IF('All Data'!I46&lt;0,0,'All Data'!I46)</f>
        <v/>
      </c>
      <c r="N22" s="285" t="inlineStr">
        <is>
          <t>Spicy P. Cheese</t>
        </is>
      </c>
      <c r="O22" s="15" t="n"/>
      <c r="P22" s="298">
        <f>ROUNDUP(((($E$2*1.35)/100)*'All Data'!I67),0)</f>
        <v/>
      </c>
      <c r="Q22" s="239" t="n">
        <v>0</v>
      </c>
      <c r="R22" s="420">
        <f>IF('All Data'!J67&lt;0,0,'All Data'!J67)</f>
        <v/>
      </c>
      <c r="S22" s="15" t="n"/>
      <c r="U22" s="285" t="inlineStr">
        <is>
          <t>Spicy P. Cheese</t>
        </is>
      </c>
      <c r="V22" s="15" t="n"/>
      <c r="W22" s="298">
        <f>(C22*0.5)+I22+P22</f>
        <v/>
      </c>
      <c r="X22" s="298">
        <f>(D22*0.5)+J22+Q22</f>
        <v/>
      </c>
      <c r="Y22" s="310">
        <f>ROUNDUP(IF((W22-X22)&lt;0,0,(W22-X22))+C41,0)</f>
        <v/>
      </c>
    </row>
    <row r="23" ht="15.75" customHeight="1" thickBot="1">
      <c r="A23" s="362" t="n"/>
      <c r="B23" s="362" t="n"/>
      <c r="C23" s="362" t="n"/>
      <c r="D23" s="362" t="n"/>
      <c r="G23" s="362" t="n"/>
      <c r="H23" s="362" t="n"/>
    </row>
    <row r="24" ht="25.5" customHeight="1" thickBot="1">
      <c r="A24" s="421" t="inlineStr">
        <is>
          <t>Tomorrow's Catering #'s</t>
        </is>
      </c>
      <c r="B24" s="68" t="n"/>
      <c r="C24" s="68" t="n"/>
      <c r="D24" s="422" t="n"/>
    </row>
    <row r="25" ht="15.95" customHeight="1" thickBot="1">
      <c r="A25" s="299" t="inlineStr">
        <is>
          <t>Barbie Q</t>
        </is>
      </c>
      <c r="B25" s="177" t="n"/>
      <c r="C25" s="300" t="n"/>
      <c r="D25" s="423" t="n"/>
      <c r="G25" s="308" t="inlineStr">
        <is>
          <t>Side Item</t>
        </is>
      </c>
      <c r="H25" s="424" t="n"/>
      <c r="I25" s="158" t="inlineStr">
        <is>
          <t>Par</t>
        </is>
      </c>
      <c r="J25" s="158" t="inlineStr">
        <is>
          <t>On Hand</t>
        </is>
      </c>
      <c r="K25" s="158" t="inlineStr">
        <is>
          <t>1/2 Pan Prep</t>
        </is>
      </c>
      <c r="L25" s="33" t="n"/>
    </row>
    <row r="26" ht="15" customHeight="1">
      <c r="A26" s="307" t="inlineStr">
        <is>
          <t>Buffalo Barclay</t>
        </is>
      </c>
      <c r="B26" s="177" t="n"/>
      <c r="C26" s="300" t="n"/>
      <c r="D26" s="423" t="n"/>
      <c r="G26" s="307" t="inlineStr">
        <is>
          <t>Broccoli Salad</t>
        </is>
      </c>
      <c r="H26" s="177" t="n"/>
      <c r="I26" s="400">
        <f>(((($E$2*1.35)/100)*'All Data'!J72)/'All Data'!K72)</f>
        <v/>
      </c>
      <c r="J26" s="93" t="n"/>
      <c r="K26" s="400">
        <f>IF(((I26-J26+C42)&lt;0),0,(I26-J26+(C42/5.63)))</f>
        <v/>
      </c>
      <c r="L26" s="32" t="n"/>
      <c r="N26" s="319" t="inlineStr">
        <is>
          <t>Broccoli salad yields (2) 1/2 pans.  Pasta Salad yields (3) 1/2 pans.</t>
        </is>
      </c>
    </row>
    <row r="27">
      <c r="A27" s="285" t="inlineStr">
        <is>
          <t>Classic Carol</t>
        </is>
      </c>
      <c r="B27" s="15" t="n"/>
      <c r="C27" s="320" t="n"/>
      <c r="D27" s="425" t="n"/>
      <c r="G27" s="285" t="inlineStr">
        <is>
          <t>Fresh Fruit</t>
        </is>
      </c>
      <c r="H27" s="15" t="n"/>
      <c r="I27" s="400">
        <f>(((($E$2*1.35)/100)*'All Data'!J73)/'All Data'!K73)</f>
        <v/>
      </c>
      <c r="J27" s="239" t="n"/>
      <c r="K27" s="400">
        <f>IF(((I27-J27+C43)&lt;0),0,(I27-J27+(C43/8.785)))</f>
        <v/>
      </c>
    </row>
    <row r="28">
      <c r="A28" s="285" t="inlineStr">
        <is>
          <t>Cranberry Kelli</t>
        </is>
      </c>
      <c r="B28" s="15" t="n"/>
      <c r="C28" s="320" t="n"/>
      <c r="D28" s="425" t="n"/>
      <c r="G28" s="285" t="inlineStr">
        <is>
          <t>Grape Salad</t>
        </is>
      </c>
      <c r="H28" s="15" t="n"/>
      <c r="I28" s="400">
        <f>(((($E$2*1.35)/100)*'All Data'!J74)/'All Data'!K74)</f>
        <v/>
      </c>
      <c r="J28" s="239" t="n"/>
      <c r="K28" s="400">
        <f>IF(((I28-J28+C44)&lt;0),0,(I28-J28+(C44/8.25)))</f>
        <v/>
      </c>
    </row>
    <row r="29">
      <c r="A29" s="285" t="inlineStr">
        <is>
          <t>Dixie Chick</t>
        </is>
      </c>
      <c r="B29" s="15" t="n"/>
      <c r="C29" s="320" t="n"/>
      <c r="D29" s="425" t="n"/>
      <c r="G29" s="285" t="inlineStr">
        <is>
          <t>Pasta Salad</t>
        </is>
      </c>
      <c r="H29" s="15" t="n"/>
      <c r="I29" s="400">
        <f>(((($E$2*1.35)/100)*'All Data'!J75)/'All Data'!K75)</f>
        <v/>
      </c>
      <c r="J29" s="239" t="n"/>
      <c r="K29" s="400">
        <f>IF(((I29-J29+C45)&lt;0),0,(I29-J29+(C45/6.79)))</f>
        <v/>
      </c>
    </row>
    <row r="30">
      <c r="A30" s="285" t="inlineStr">
        <is>
          <t>Fancy Nancy</t>
        </is>
      </c>
      <c r="B30" s="15" t="n"/>
      <c r="C30" s="320" t="n"/>
      <c r="D30" s="425" t="n"/>
    </row>
    <row r="31" ht="15.75" customHeight="1" thickBot="1">
      <c r="A31" s="285" t="inlineStr">
        <is>
          <t>Fruity Fran</t>
        </is>
      </c>
      <c r="B31" s="15" t="n"/>
      <c r="C31" s="320" t="n"/>
      <c r="D31" s="425" t="n"/>
    </row>
    <row r="32" ht="15.75" customHeight="1" thickBot="1">
      <c r="A32" s="285" t="inlineStr">
        <is>
          <t>Jalapeño Holly</t>
        </is>
      </c>
      <c r="B32" s="15" t="n"/>
      <c r="C32" s="320" t="n"/>
      <c r="D32" s="425" t="n"/>
      <c r="G32" s="322" t="inlineStr">
        <is>
          <t>Produce Item</t>
        </is>
      </c>
      <c r="H32" s="424" t="n"/>
      <c r="I32" s="13" t="inlineStr">
        <is>
          <t>Par</t>
        </is>
      </c>
    </row>
    <row r="33">
      <c r="A33" s="285" t="inlineStr">
        <is>
          <t>Kickin Kay Lynne</t>
        </is>
      </c>
      <c r="B33" s="15" t="n"/>
      <c r="C33" s="320" t="n"/>
      <c r="D33" s="425" t="n"/>
      <c r="G33" s="310" t="inlineStr">
        <is>
          <t>Broccoli Lexans</t>
        </is>
      </c>
      <c r="H33" s="177" t="n"/>
      <c r="I33" s="400">
        <f>Future!I26/2</f>
        <v/>
      </c>
    </row>
    <row r="34">
      <c r="A34" s="285" t="inlineStr">
        <is>
          <t>Lauryn's L. Basil</t>
        </is>
      </c>
      <c r="B34" s="15" t="n"/>
      <c r="C34" s="320" t="n"/>
      <c r="D34" s="425" t="n"/>
      <c r="G34" s="298" t="inlineStr">
        <is>
          <t>Dried Grape Lexans</t>
        </is>
      </c>
      <c r="H34" s="15" t="n"/>
      <c r="I34" s="398">
        <f>Future!I28/2</f>
        <v/>
      </c>
    </row>
    <row r="35" ht="15.75" customHeight="1" thickBot="1">
      <c r="A35" s="285" t="inlineStr">
        <is>
          <t>Local Flavor</t>
        </is>
      </c>
      <c r="B35" s="15" t="n"/>
      <c r="C35" s="320" t="n"/>
      <c r="D35" s="425" t="n"/>
      <c r="G35" s="327" t="n"/>
      <c r="H35" s="327" t="n"/>
    </row>
    <row r="36" ht="15.75" customHeight="1" thickBot="1">
      <c r="A36" s="285" t="inlineStr">
        <is>
          <t>Olivia's Old South</t>
        </is>
      </c>
      <c r="B36" s="15" t="n"/>
      <c r="C36" s="320" t="n"/>
      <c r="D36" s="425" t="n"/>
      <c r="G36" s="278" t="inlineStr">
        <is>
          <t>Salads</t>
        </is>
      </c>
      <c r="H36" s="416" t="n"/>
      <c r="I36" s="13" t="inlineStr">
        <is>
          <t>Par</t>
        </is>
      </c>
      <c r="J36" s="67" t="n"/>
    </row>
    <row r="37">
      <c r="A37" s="285" t="inlineStr">
        <is>
          <t>Sassy Scotty</t>
        </is>
      </c>
      <c r="B37" s="15" t="n"/>
      <c r="C37" s="320" t="n"/>
      <c r="D37" s="425" t="n"/>
      <c r="F37" s="260" t="n"/>
      <c r="G37" s="311" t="inlineStr">
        <is>
          <t>Classic Salads</t>
        </is>
      </c>
      <c r="H37" s="31" t="n"/>
      <c r="I37" s="400">
        <f>'All Data'!G85</f>
        <v/>
      </c>
      <c r="J37" s="32" t="n"/>
    </row>
    <row r="38">
      <c r="A38" s="285" t="inlineStr">
        <is>
          <t>LTO</t>
        </is>
      </c>
      <c r="B38" s="15" t="n"/>
      <c r="C38" s="320" t="n"/>
      <c r="D38" s="425" t="n"/>
      <c r="F38" s="260" t="n"/>
      <c r="G38" s="298" t="inlineStr">
        <is>
          <t>Seasonal Salads</t>
        </is>
      </c>
      <c r="H38" s="15" t="n"/>
      <c r="I38" s="398">
        <f>'All Data'!G86</f>
        <v/>
      </c>
    </row>
    <row r="39">
      <c r="A39" s="285" t="inlineStr">
        <is>
          <t>Egg Salad</t>
        </is>
      </c>
      <c r="B39" s="15" t="n"/>
      <c r="C39" s="320" t="n"/>
      <c r="D39" s="425" t="n"/>
      <c r="I39" s="17" t="n"/>
    </row>
    <row r="40">
      <c r="A40" s="285" t="inlineStr">
        <is>
          <t>Pimento Cheese</t>
        </is>
      </c>
      <c r="B40" s="15" t="n"/>
      <c r="C40" s="320" t="n"/>
      <c r="D40" s="425" t="n"/>
      <c r="I40" s="18" t="n"/>
    </row>
    <row r="41">
      <c r="A41" s="285" t="inlineStr">
        <is>
          <t>Spicy P. Cheese</t>
        </is>
      </c>
      <c r="B41" s="15" t="n"/>
      <c r="C41" s="320" t="n"/>
      <c r="D41" s="425" t="n"/>
    </row>
    <row r="42">
      <c r="A42" s="315" t="inlineStr">
        <is>
          <t>Broccoli Salad</t>
        </is>
      </c>
      <c r="B42" s="15" t="n"/>
      <c r="C42" s="320" t="n"/>
      <c r="D42" s="425" t="n"/>
    </row>
    <row r="43">
      <c r="A43" s="315" t="inlineStr">
        <is>
          <t>Fresh Fruit</t>
        </is>
      </c>
      <c r="B43" s="15" t="n"/>
      <c r="C43" s="320" t="n"/>
      <c r="D43" s="425" t="n"/>
    </row>
    <row r="44">
      <c r="A44" s="315" t="inlineStr">
        <is>
          <t>Grape Salad</t>
        </is>
      </c>
      <c r="B44" s="15" t="n"/>
      <c r="C44" s="320" t="n"/>
      <c r="D44" s="425" t="n"/>
    </row>
    <row r="45">
      <c r="A45" s="315" t="inlineStr">
        <is>
          <t>Pasta Salad</t>
        </is>
      </c>
      <c r="B45" s="15" t="n"/>
      <c r="C45" s="320" t="n"/>
      <c r="D45" s="425" t="n"/>
    </row>
    <row r="47" hidden="1"/>
    <row r="48" hidden="1">
      <c r="K48">
        <f>ROUND((Y14/3),0)</f>
        <v/>
      </c>
    </row>
    <row r="49" hidden="1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fnZmYcLDkGYtzMJHxPb7xQ==" formatRows="1" sort="1" spinCount="100000" hashValue="nVQr3Cl0XQruZ5n1PJecMTDkDjcXAkfqEBugoLU0T3ivDbjml3mBVZtLfHFQ42xmaonwUjePHMWsEyTpuTa1BQ=="/>
  <mergeCells count="153">
    <mergeCell ref="G21:H21"/>
    <mergeCell ref="N20:O20"/>
    <mergeCell ref="N11:O11"/>
    <mergeCell ref="U15:V15"/>
    <mergeCell ref="N22:O22"/>
    <mergeCell ref="A7:B7"/>
    <mergeCell ref="N12:O12"/>
    <mergeCell ref="A41:B41"/>
    <mergeCell ref="C41:D41"/>
    <mergeCell ref="R6:S6"/>
    <mergeCell ref="U16:V16"/>
    <mergeCell ref="A24:D24"/>
    <mergeCell ref="N5:O5"/>
    <mergeCell ref="G18:H18"/>
    <mergeCell ref="A27:B27"/>
    <mergeCell ref="N14:O14"/>
    <mergeCell ref="R12:S12"/>
    <mergeCell ref="C43:D43"/>
    <mergeCell ref="G34:H34"/>
    <mergeCell ref="A33:B33"/>
    <mergeCell ref="C27:D27"/>
    <mergeCell ref="A42:B42"/>
    <mergeCell ref="C36:D36"/>
    <mergeCell ref="A17:B17"/>
    <mergeCell ref="A22:B22"/>
    <mergeCell ref="A35:B35"/>
    <mergeCell ref="G20:H20"/>
    <mergeCell ref="N15:O15"/>
    <mergeCell ref="A19:B19"/>
    <mergeCell ref="U5:V5"/>
    <mergeCell ref="U20:V20"/>
    <mergeCell ref="A28:B28"/>
    <mergeCell ref="U14:V14"/>
    <mergeCell ref="C28:D28"/>
    <mergeCell ref="R18:S18"/>
    <mergeCell ref="G22:H22"/>
    <mergeCell ref="A9:B9"/>
    <mergeCell ref="A39:B39"/>
    <mergeCell ref="R8:S8"/>
    <mergeCell ref="A30:B30"/>
    <mergeCell ref="U22:V22"/>
    <mergeCell ref="G12:H12"/>
    <mergeCell ref="C30:D30"/>
    <mergeCell ref="N7:O7"/>
    <mergeCell ref="A11:B11"/>
    <mergeCell ref="N16:O16"/>
    <mergeCell ref="A45:B45"/>
    <mergeCell ref="U6:V6"/>
    <mergeCell ref="R10:S10"/>
    <mergeCell ref="C45:D45"/>
    <mergeCell ref="R19:S19"/>
    <mergeCell ref="R16:S16"/>
    <mergeCell ref="G38:H38"/>
    <mergeCell ref="G7:H7"/>
    <mergeCell ref="A37:B37"/>
    <mergeCell ref="C40:D40"/>
    <mergeCell ref="U13:V13"/>
    <mergeCell ref="U7:V7"/>
    <mergeCell ref="N26:Q28"/>
    <mergeCell ref="A26:B26"/>
    <mergeCell ref="G33:H33"/>
    <mergeCell ref="U4:Z4"/>
    <mergeCell ref="U18:V18"/>
    <mergeCell ref="A8:B8"/>
    <mergeCell ref="N13:O13"/>
    <mergeCell ref="G26:H26"/>
    <mergeCell ref="G4:K4"/>
    <mergeCell ref="U8:V8"/>
    <mergeCell ref="A4:E4"/>
    <mergeCell ref="G16:H16"/>
    <mergeCell ref="N6:O6"/>
    <mergeCell ref="G25:H25"/>
    <mergeCell ref="A10:B10"/>
    <mergeCell ref="U10:V10"/>
    <mergeCell ref="R14:S14"/>
    <mergeCell ref="U19:V19"/>
    <mergeCell ref="G9:H9"/>
    <mergeCell ref="R1:S1"/>
    <mergeCell ref="A34:B34"/>
    <mergeCell ref="C34:D34"/>
    <mergeCell ref="U9:V9"/>
    <mergeCell ref="G11:H11"/>
    <mergeCell ref="A36:B36"/>
    <mergeCell ref="K1:Q2"/>
    <mergeCell ref="C29:D29"/>
    <mergeCell ref="R7:S7"/>
    <mergeCell ref="G37:H37"/>
    <mergeCell ref="C44:D44"/>
    <mergeCell ref="N18:O18"/>
    <mergeCell ref="G13:H13"/>
    <mergeCell ref="C31:D31"/>
    <mergeCell ref="N8:O8"/>
    <mergeCell ref="A12:B12"/>
    <mergeCell ref="N17:O17"/>
    <mergeCell ref="A21:B21"/>
    <mergeCell ref="U12:V12"/>
    <mergeCell ref="R20:S20"/>
    <mergeCell ref="U21:V21"/>
    <mergeCell ref="G15:H15"/>
    <mergeCell ref="A5:B5"/>
    <mergeCell ref="N10:O10"/>
    <mergeCell ref="A32:B32"/>
    <mergeCell ref="A14:B14"/>
    <mergeCell ref="N19:O19"/>
    <mergeCell ref="R17:S17"/>
    <mergeCell ref="R22:S22"/>
    <mergeCell ref="N9:O9"/>
    <mergeCell ref="A38:B38"/>
    <mergeCell ref="C32:D32"/>
    <mergeCell ref="C38:D38"/>
    <mergeCell ref="A43:B43"/>
    <mergeCell ref="G32:H32"/>
    <mergeCell ref="A40:B40"/>
    <mergeCell ref="R9:S9"/>
    <mergeCell ref="R5:S5"/>
    <mergeCell ref="A1:D2"/>
    <mergeCell ref="C33:D33"/>
    <mergeCell ref="R11:S11"/>
    <mergeCell ref="C42:D42"/>
    <mergeCell ref="G27:H27"/>
    <mergeCell ref="G36:H36"/>
    <mergeCell ref="R13:S13"/>
    <mergeCell ref="G8:H8"/>
    <mergeCell ref="C26:D26"/>
    <mergeCell ref="A6:B6"/>
    <mergeCell ref="G17:H17"/>
    <mergeCell ref="C35:D35"/>
    <mergeCell ref="S2:T2"/>
    <mergeCell ref="N21:O21"/>
    <mergeCell ref="A16:B16"/>
    <mergeCell ref="U17:V17"/>
    <mergeCell ref="A25:B25"/>
    <mergeCell ref="R15:S15"/>
    <mergeCell ref="U11:V11"/>
    <mergeCell ref="C25:D25"/>
    <mergeCell ref="G10:H10"/>
    <mergeCell ref="G19:H19"/>
    <mergeCell ref="G28:H28"/>
    <mergeCell ref="G6:H6"/>
    <mergeCell ref="A18:B18"/>
    <mergeCell ref="R21:S21"/>
    <mergeCell ref="G5:H5"/>
    <mergeCell ref="G14:H14"/>
    <mergeCell ref="R3:S3"/>
    <mergeCell ref="N4:S4"/>
    <mergeCell ref="C39:D39"/>
    <mergeCell ref="G29:H29"/>
    <mergeCell ref="A20:B20"/>
    <mergeCell ref="A29:B29"/>
    <mergeCell ref="C37:D37"/>
    <mergeCell ref="A13:B13"/>
    <mergeCell ref="A44:B44"/>
    <mergeCell ref="A31:B31"/>
  </mergeCells>
  <pageMargins left="0.25" right="0.25" top="0" bottom="0.75" header="0.3" footer="0.3"/>
  <pageSetup orientation="landscape" scale="6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topLeftCell="A7" workbookViewId="0">
      <selection activeCell="H18" sqref="H18"/>
    </sheetView>
  </sheetViews>
  <sheetFormatPr baseColWidth="8" defaultColWidth="8.85546875" defaultRowHeight="15"/>
  <cols>
    <col width="3.42578125" customWidth="1" min="1" max="2"/>
    <col width="5.42578125" customWidth="1" min="3" max="3"/>
    <col width="20.85546875" customWidth="1" min="4" max="4"/>
    <col width="12.140625" customWidth="1" min="5" max="5"/>
    <col width="4" customWidth="1" min="6" max="6"/>
    <col width="20" customWidth="1" min="7" max="7"/>
    <col width="6.42578125" bestFit="1" customWidth="1" min="8" max="8"/>
    <col width="15.42578125" bestFit="1" customWidth="1" min="9" max="9"/>
    <col width="9.42578125" customWidth="1" min="10" max="10"/>
    <col width="11" customWidth="1" min="11" max="11"/>
    <col width="12.42578125" bestFit="1" customWidth="1" min="12" max="12"/>
  </cols>
  <sheetData>
    <row r="1">
      <c r="B1" s="363" t="inlineStr">
        <is>
          <t>Date:</t>
        </is>
      </c>
      <c r="C1" s="363" t="n"/>
      <c r="D1" s="75" t="n"/>
    </row>
    <row r="2">
      <c r="B2" s="363" t="n"/>
      <c r="C2" s="363" t="n"/>
    </row>
    <row r="3">
      <c r="B3" s="333" t="inlineStr">
        <is>
          <t>Today's Forecast:</t>
        </is>
      </c>
      <c r="E3" s="426">
        <f>'Production Guide'!E2</f>
        <v/>
      </c>
      <c r="F3" s="426" t="n"/>
    </row>
    <row r="5" ht="15.75" customHeight="1" thickBot="1"/>
    <row r="6" ht="15" customHeight="1" thickBot="1">
      <c r="A6" s="427" t="inlineStr">
        <is>
          <t>Daily Production List</t>
        </is>
      </c>
      <c r="B6" s="73" t="n"/>
      <c r="C6" s="73" t="n"/>
      <c r="D6" s="73" t="n"/>
      <c r="E6" s="180" t="n"/>
      <c r="G6" s="76" t="inlineStr">
        <is>
          <t>Item</t>
        </is>
      </c>
      <c r="H6" s="81" t="inlineStr">
        <is>
          <t>Prep</t>
        </is>
      </c>
      <c r="J6" s="26" t="n"/>
      <c r="K6" s="74" t="n"/>
      <c r="L6" s="74" t="n"/>
      <c r="M6" s="74" t="n"/>
    </row>
    <row r="7" ht="14.45" customHeight="1">
      <c r="A7" s="67" t="n"/>
      <c r="E7" s="29" t="n"/>
      <c r="G7" s="77" t="inlineStr">
        <is>
          <t>Broccoli Lexis</t>
        </is>
      </c>
      <c r="H7" s="71">
        <f>Future!AE5</f>
        <v/>
      </c>
      <c r="J7" s="26" t="n"/>
      <c r="K7" s="74" t="n"/>
      <c r="L7" s="74" t="n"/>
      <c r="M7" s="74" t="n"/>
    </row>
    <row r="8" ht="18" customHeight="1" thickBot="1">
      <c r="A8" s="414" t="n"/>
      <c r="B8" s="252" t="n"/>
      <c r="C8" s="252" t="n"/>
      <c r="D8" s="252" t="n"/>
      <c r="E8" s="415" t="n"/>
      <c r="G8" s="78" t="inlineStr">
        <is>
          <t>Wet Grape Lexis</t>
        </is>
      </c>
      <c r="H8" s="229">
        <f>Future!AE6</f>
        <v/>
      </c>
      <c r="I8" s="426" t="n"/>
      <c r="J8" s="24" t="n"/>
      <c r="K8" s="74" t="n"/>
      <c r="L8" s="74" t="n"/>
      <c r="M8" s="74" t="n"/>
    </row>
    <row r="9" ht="18.75" customHeight="1" thickBot="1">
      <c r="A9" s="47" t="inlineStr">
        <is>
          <t>SM</t>
        </is>
      </c>
      <c r="B9" s="108" t="inlineStr">
        <is>
          <t>LG</t>
        </is>
      </c>
      <c r="C9" s="106" t="inlineStr">
        <is>
          <t>Cook</t>
        </is>
      </c>
      <c r="D9" s="106" t="inlineStr">
        <is>
          <t>Flavor</t>
        </is>
      </c>
      <c r="E9" s="105" t="inlineStr">
        <is>
          <t>#'s to Prep</t>
        </is>
      </c>
      <c r="G9" s="78" t="inlineStr">
        <is>
          <t>Dry Grape Lexis</t>
        </is>
      </c>
      <c r="H9" s="42">
        <f>Future!AE7</f>
        <v/>
      </c>
      <c r="I9" s="26" t="n"/>
      <c r="J9" s="24" t="n"/>
      <c r="K9" s="74" t="n"/>
      <c r="L9" s="74" t="n"/>
      <c r="M9" s="74" t="n"/>
    </row>
    <row r="10" ht="18" customHeight="1">
      <c r="A10" s="131">
        <f>'Production Guide'!E8</f>
        <v/>
      </c>
      <c r="B10" s="132">
        <f>'Production Guide'!K8</f>
        <v/>
      </c>
      <c r="C10" s="94" t="inlineStr">
        <is>
          <t>C1</t>
        </is>
      </c>
      <c r="D10" s="28" t="inlineStr">
        <is>
          <t>Classic Carol</t>
        </is>
      </c>
      <c r="E10" s="34">
        <f>'Production Guide'!Y8</f>
        <v/>
      </c>
      <c r="G10" s="78" t="inlineStr">
        <is>
          <t>Pasta Salad Batches</t>
        </is>
      </c>
      <c r="H10" s="42">
        <f>Future!AE8</f>
        <v/>
      </c>
      <c r="I10" s="26" t="n"/>
      <c r="J10" s="24" t="n"/>
      <c r="K10" s="23" t="n"/>
    </row>
    <row r="11" ht="18.75" customHeight="1" thickBot="1">
      <c r="A11" s="133">
        <f>'Production Guide'!E9</f>
        <v/>
      </c>
      <c r="B11" s="134">
        <f>'Production Guide'!K9</f>
        <v/>
      </c>
      <c r="C11" s="96" t="inlineStr">
        <is>
          <t>C1</t>
        </is>
      </c>
      <c r="D11" s="315" t="inlineStr">
        <is>
          <t>Cranberry Kelli</t>
        </is>
      </c>
      <c r="E11" s="35">
        <f>'Production Guide'!Y9</f>
        <v/>
      </c>
      <c r="G11" s="79" t="inlineStr">
        <is>
          <t>Grape Salad Dressing</t>
        </is>
      </c>
      <c r="H11" s="62">
        <f>Future!AF9</f>
        <v/>
      </c>
      <c r="I11" s="80" t="n"/>
      <c r="J11" s="24" t="n"/>
      <c r="K11" s="23" t="n"/>
    </row>
    <row r="12" ht="18.75" customHeight="1" thickBot="1">
      <c r="A12" s="101">
        <f>'Production Guide'!E17</f>
        <v/>
      </c>
      <c r="B12" s="187">
        <f>'Production Guide'!K17</f>
        <v/>
      </c>
      <c r="C12" s="95" t="inlineStr">
        <is>
          <t>C1</t>
        </is>
      </c>
      <c r="D12" s="315" t="inlineStr">
        <is>
          <t>Olivia's Old South</t>
        </is>
      </c>
      <c r="E12" s="35">
        <f>'Production Guide'!Y17</f>
        <v/>
      </c>
      <c r="G12" s="73" t="n"/>
      <c r="H12" s="68" t="n"/>
      <c r="I12" s="80" t="n"/>
      <c r="J12" s="24" t="n"/>
      <c r="K12" s="23" t="n"/>
    </row>
    <row r="13" ht="18.75" customHeight="1" thickBot="1">
      <c r="A13" s="101">
        <f>'Production Guide'!E12</f>
        <v/>
      </c>
      <c r="B13" s="187">
        <f>'Production Guide'!K12</f>
        <v/>
      </c>
      <c r="C13" s="95" t="inlineStr">
        <is>
          <t>C1</t>
        </is>
      </c>
      <c r="D13" s="315" t="inlineStr">
        <is>
          <t>Fruity Fran</t>
        </is>
      </c>
      <c r="E13" s="35">
        <f>'Production Guide'!Y12</f>
        <v/>
      </c>
      <c r="G13" s="47" t="inlineStr">
        <is>
          <t>Salads</t>
        </is>
      </c>
      <c r="H13" s="65" t="inlineStr">
        <is>
          <t>Par</t>
        </is>
      </c>
      <c r="I13" s="80" t="n"/>
      <c r="J13" s="24" t="n"/>
      <c r="K13" s="23" t="n"/>
    </row>
    <row r="14" ht="18" customHeight="1">
      <c r="A14" s="101">
        <f>'Production Guide'!E19</f>
        <v/>
      </c>
      <c r="B14" s="187">
        <f>'Production Guide'!K19</f>
        <v/>
      </c>
      <c r="C14" s="95" t="inlineStr">
        <is>
          <t>C1</t>
        </is>
      </c>
      <c r="D14" s="315" t="inlineStr">
        <is>
          <t>LTO</t>
        </is>
      </c>
      <c r="E14" s="35">
        <f>'Production Guide'!Y19</f>
        <v/>
      </c>
      <c r="G14" s="43" t="inlineStr">
        <is>
          <t>Classic Salads</t>
        </is>
      </c>
      <c r="H14" s="51">
        <f>'All Data'!G85</f>
        <v/>
      </c>
      <c r="I14" s="80" t="n"/>
      <c r="J14" s="24" t="n"/>
      <c r="K14" s="23" t="n"/>
    </row>
    <row r="15" ht="18.75" customHeight="1" thickBot="1">
      <c r="A15" s="101">
        <f>'Production Guide'!E10</f>
        <v/>
      </c>
      <c r="B15" s="187">
        <f>'Production Guide'!K10</f>
        <v/>
      </c>
      <c r="C15" s="95" t="inlineStr">
        <is>
          <t>C1</t>
        </is>
      </c>
      <c r="D15" s="315" t="inlineStr">
        <is>
          <t>Dixie Chick</t>
        </is>
      </c>
      <c r="E15" s="35">
        <f>'Production Guide'!Y10</f>
        <v/>
      </c>
      <c r="G15" s="44" t="inlineStr">
        <is>
          <t>Seasonal Salads</t>
        </is>
      </c>
      <c r="H15" s="83">
        <f>'All Data'!G86</f>
        <v/>
      </c>
      <c r="I15" s="64" t="n"/>
      <c r="J15" s="24" t="n"/>
      <c r="K15" s="23" t="n"/>
    </row>
    <row r="16" ht="18" customHeight="1">
      <c r="A16" s="102">
        <f>'Production Guide'!E16</f>
        <v/>
      </c>
      <c r="B16" s="187">
        <f>'Production Guide'!K16</f>
        <v/>
      </c>
      <c r="C16" s="109" t="inlineStr">
        <is>
          <t>C1</t>
        </is>
      </c>
      <c r="D16" s="88" t="inlineStr">
        <is>
          <t>Local Flavor</t>
        </is>
      </c>
      <c r="E16" s="35">
        <f>'Production Guide'!Y16</f>
        <v/>
      </c>
      <c r="H16" s="152" t="n"/>
      <c r="I16" s="64" t="n"/>
      <c r="J16" s="24" t="n"/>
      <c r="K16" s="23" t="n"/>
    </row>
    <row r="17" ht="18.75" customHeight="1" thickBot="1">
      <c r="A17" s="102">
        <f>'Production Guide'!E15</f>
        <v/>
      </c>
      <c r="B17" s="241">
        <f>'Production Guide'!K15</f>
        <v/>
      </c>
      <c r="C17" s="97" t="inlineStr">
        <is>
          <t>C1</t>
        </is>
      </c>
      <c r="D17" s="10" t="inlineStr">
        <is>
          <t>Lauryn's Lemon Basil</t>
        </is>
      </c>
      <c r="E17" s="36">
        <f>'Production Guide'!Y15</f>
        <v/>
      </c>
      <c r="F17" s="17" t="inlineStr">
        <is>
          <t>KKL</t>
        </is>
      </c>
      <c r="I17" s="64" t="n"/>
      <c r="J17" s="24" t="n"/>
      <c r="K17" s="23" t="n"/>
    </row>
    <row r="18" ht="18" customHeight="1">
      <c r="A18" s="131">
        <f>'Production Guide'!E18</f>
        <v/>
      </c>
      <c r="B18" s="135">
        <f>'Production Guide'!K18</f>
        <v/>
      </c>
      <c r="C18" s="95" t="inlineStr">
        <is>
          <t>C2</t>
        </is>
      </c>
      <c r="D18" s="130" t="inlineStr">
        <is>
          <t>Sassy Scotty</t>
        </is>
      </c>
      <c r="E18" s="69">
        <f>'Production Guide'!Y18</f>
        <v/>
      </c>
      <c r="F18" s="99">
        <f>E22/3</f>
        <v/>
      </c>
      <c r="I18" s="80" t="n"/>
      <c r="J18" s="24" t="n"/>
      <c r="K18" s="23" t="n"/>
    </row>
    <row r="19" ht="18" customHeight="1">
      <c r="A19" s="133">
        <f>'Production Guide'!E11</f>
        <v/>
      </c>
      <c r="B19" s="135">
        <f>'Production Guide'!K11</f>
        <v/>
      </c>
      <c r="C19" s="95" t="inlineStr">
        <is>
          <t>C2</t>
        </is>
      </c>
      <c r="D19" s="315" t="inlineStr">
        <is>
          <t>Fancy Nancy</t>
        </is>
      </c>
      <c r="E19" s="70">
        <f>'Production Guide'!Y11</f>
        <v/>
      </c>
      <c r="F19" s="67" t="n"/>
      <c r="I19" s="80" t="n"/>
      <c r="J19" s="24" t="n"/>
      <c r="K19" s="23" t="n"/>
    </row>
    <row r="20" ht="18" customHeight="1">
      <c r="A20" s="101">
        <f>'Production Guide'!E7</f>
        <v/>
      </c>
      <c r="B20" s="187">
        <f>'Production Guide'!K7</f>
        <v/>
      </c>
      <c r="C20" s="96" t="inlineStr">
        <is>
          <t>C2</t>
        </is>
      </c>
      <c r="D20" s="315" t="inlineStr">
        <is>
          <t>Buffalo Barclay</t>
        </is>
      </c>
      <c r="E20" s="35">
        <f>'Production Guide'!Y7</f>
        <v/>
      </c>
      <c r="F20" s="99">
        <f>E22/3</f>
        <v/>
      </c>
      <c r="I20" s="87" t="n"/>
      <c r="J20" s="23" t="n"/>
    </row>
    <row r="21" ht="18" customHeight="1">
      <c r="A21" s="101">
        <f>'Production Guide'!E13</f>
        <v/>
      </c>
      <c r="B21" s="187">
        <f>'Production Guide'!K13</f>
        <v/>
      </c>
      <c r="C21" s="96" t="inlineStr">
        <is>
          <t>C2</t>
        </is>
      </c>
      <c r="D21" s="315" t="inlineStr">
        <is>
          <t>Jalapeño Holly</t>
        </is>
      </c>
      <c r="E21" s="293">
        <f>'Production Guide'!Y13</f>
        <v/>
      </c>
      <c r="F21" s="98">
        <f>E22/3</f>
        <v/>
      </c>
      <c r="G21" s="32" t="n"/>
      <c r="I21" s="87" t="n"/>
      <c r="J21" s="23" t="n"/>
    </row>
    <row r="22" ht="18" customHeight="1">
      <c r="A22" s="101">
        <f>'Production Guide'!E14</f>
        <v/>
      </c>
      <c r="B22" s="187">
        <f>'Production Guide'!K14</f>
        <v/>
      </c>
      <c r="C22" s="96" t="inlineStr">
        <is>
          <t>C2</t>
        </is>
      </c>
      <c r="D22" s="88" t="inlineStr">
        <is>
          <t>Kickin Kay Lynne</t>
        </is>
      </c>
      <c r="E22" s="35">
        <f>MROUND('Production Guide'!Y14,3)</f>
        <v/>
      </c>
      <c r="I22" s="87" t="n"/>
      <c r="J22" s="23" t="n"/>
    </row>
    <row r="23" ht="18" customHeight="1">
      <c r="A23" s="101">
        <f>'Production Guide'!E6</f>
        <v/>
      </c>
      <c r="B23" s="187">
        <f>'Production Guide'!K6</f>
        <v/>
      </c>
      <c r="C23" s="96" t="inlineStr">
        <is>
          <t>C2</t>
        </is>
      </c>
      <c r="D23" s="315" t="inlineStr">
        <is>
          <t>Barbie Q</t>
        </is>
      </c>
      <c r="E23" s="35">
        <f>'Production Guide'!Y6</f>
        <v/>
      </c>
      <c r="I23" s="87" t="n"/>
      <c r="J23" s="23" t="n"/>
    </row>
    <row r="24" ht="18" customHeight="1">
      <c r="A24" s="136">
        <f>'Production Guide'!E21</f>
        <v/>
      </c>
      <c r="B24" s="135">
        <f>'Production Guide'!K21</f>
        <v/>
      </c>
      <c r="C24" s="95" t="inlineStr">
        <is>
          <t>C2</t>
        </is>
      </c>
      <c r="D24" s="315" t="inlineStr">
        <is>
          <t>Pimento Cheese</t>
        </is>
      </c>
      <c r="E24" s="69">
        <f>'Production Guide'!Y21</f>
        <v/>
      </c>
      <c r="H24" s="45" t="n"/>
      <c r="I24" s="25" t="n"/>
      <c r="J24" s="23" t="n"/>
    </row>
    <row r="25" ht="18" customHeight="1">
      <c r="A25" s="133">
        <f>'Production Guide'!E22</f>
        <v/>
      </c>
      <c r="B25" s="134">
        <f>'Production Guide'!K22</f>
        <v/>
      </c>
      <c r="C25" s="96" t="inlineStr">
        <is>
          <t>C2</t>
        </is>
      </c>
      <c r="D25" s="315" t="inlineStr">
        <is>
          <t>Spicy Pimento Cheese</t>
        </is>
      </c>
      <c r="E25" s="35">
        <f>'Production Guide'!Y22</f>
        <v/>
      </c>
      <c r="H25" s="23" t="n"/>
      <c r="I25" s="25" t="n"/>
      <c r="J25" s="23" t="n"/>
    </row>
    <row r="26" ht="18.75" customHeight="1" thickBot="1">
      <c r="A26" s="234">
        <f>'Production Guide'!E20</f>
        <v/>
      </c>
      <c r="B26" s="235">
        <f>'Production Guide'!K20</f>
        <v/>
      </c>
      <c r="C26" s="97" t="inlineStr">
        <is>
          <t>C2</t>
        </is>
      </c>
      <c r="D26" s="88" t="inlineStr">
        <is>
          <t xml:space="preserve">Egg Salad </t>
        </is>
      </c>
      <c r="E26" s="89">
        <f>'Production Guide'!Y20</f>
        <v/>
      </c>
      <c r="H26" s="23" t="n"/>
      <c r="I26" s="25" t="n"/>
    </row>
    <row r="27" ht="15.75" customHeight="1" thickBot="1">
      <c r="C27" s="180" t="n"/>
      <c r="D27" s="233" t="inlineStr">
        <is>
          <t>Total Mixed Flavors</t>
        </is>
      </c>
      <c r="E27" s="72">
        <f>SUM(E10:E23)-E22</f>
        <v/>
      </c>
      <c r="I27" s="17" t="n"/>
    </row>
    <row r="28" ht="15.75" customHeight="1" thickBot="1">
      <c r="I28" s="18" t="n"/>
    </row>
    <row r="29" ht="15.75" customHeight="1" thickBot="1">
      <c r="C29" s="49" t="inlineStr">
        <is>
          <t>Cook</t>
        </is>
      </c>
      <c r="D29" s="49" t="inlineStr">
        <is>
          <t>Ingredient</t>
        </is>
      </c>
      <c r="E29" s="49" t="inlineStr">
        <is>
          <t>Cups to Prep</t>
        </is>
      </c>
      <c r="G29" s="86" t="inlineStr">
        <is>
          <t>Salad Item Prep</t>
        </is>
      </c>
      <c r="H29" s="48" t="n"/>
      <c r="I29" s="18" t="n"/>
    </row>
    <row r="30">
      <c r="C30" s="53" t="inlineStr">
        <is>
          <t>C2</t>
        </is>
      </c>
      <c r="D30" s="31" t="inlineStr">
        <is>
          <t>Apples</t>
        </is>
      </c>
      <c r="E30" s="34">
        <f>(E19+E13)*0.25</f>
        <v/>
      </c>
      <c r="G30" s="66" t="inlineStr">
        <is>
          <t>Salad Mix</t>
        </is>
      </c>
      <c r="H30" s="203" t="n"/>
      <c r="I30" s="25" t="n"/>
    </row>
    <row r="31">
      <c r="C31" s="54" t="inlineStr">
        <is>
          <t>C2</t>
        </is>
      </c>
      <c r="D31" s="15" t="inlineStr">
        <is>
          <t>Eggs</t>
        </is>
      </c>
      <c r="E31" s="35">
        <f>E12*0.25</f>
        <v/>
      </c>
      <c r="G31" s="66" t="inlineStr">
        <is>
          <t>Strawberries</t>
        </is>
      </c>
      <c r="H31" s="84" t="n"/>
    </row>
    <row r="32">
      <c r="C32" s="54" t="inlineStr">
        <is>
          <t>C2</t>
        </is>
      </c>
      <c r="D32" s="15" t="inlineStr">
        <is>
          <t>Onions</t>
        </is>
      </c>
      <c r="E32" s="35">
        <f>E15*0.25</f>
        <v/>
      </c>
      <c r="G32" s="14" t="inlineStr">
        <is>
          <t>Unpeeled Apples</t>
        </is>
      </c>
      <c r="H32" s="84" t="n"/>
    </row>
    <row r="33" ht="15.75" customHeight="1" thickBot="1">
      <c r="C33" s="54" t="inlineStr">
        <is>
          <t>C2</t>
        </is>
      </c>
      <c r="D33" s="315" t="inlineStr">
        <is>
          <t>Bacon</t>
        </is>
      </c>
      <c r="E33" s="89">
        <f>(E18*0.25)+(E16*0.25)</f>
        <v/>
      </c>
      <c r="G33" s="44" t="inlineStr">
        <is>
          <t>Cucumbers</t>
        </is>
      </c>
      <c r="H33" s="154" t="n"/>
    </row>
    <row r="34" ht="15.75" customHeight="1" thickBot="1">
      <c r="B34" s="29" t="n"/>
      <c r="C34" s="194" t="inlineStr">
        <is>
          <t>C2</t>
        </is>
      </c>
      <c r="D34" s="191" t="inlineStr">
        <is>
          <t>Pineapple</t>
        </is>
      </c>
      <c r="E34" s="190">
        <f>E13*0.25</f>
        <v/>
      </c>
    </row>
    <row r="35" ht="15.75" customHeight="1" thickBot="1">
      <c r="C35" s="180" t="n"/>
      <c r="D35" s="50" t="inlineStr">
        <is>
          <t>Side</t>
        </is>
      </c>
      <c r="E35" s="81" t="inlineStr">
        <is>
          <t>1/2 Pans</t>
        </is>
      </c>
      <c r="G35" s="428" t="inlineStr">
        <is>
          <t>Classic Carol for Tomorrow</t>
        </is>
      </c>
      <c r="H35" s="422" t="n"/>
    </row>
    <row r="36" ht="15.75" customHeight="1" thickBot="1">
      <c r="B36" s="334" t="n"/>
      <c r="C36" s="29" t="n"/>
      <c r="D36" s="37" t="inlineStr">
        <is>
          <t>Broccoli Salad</t>
        </is>
      </c>
      <c r="E36" s="40">
        <f>'Production Guide'!K26</f>
        <v/>
      </c>
      <c r="G36" s="429">
        <f>Future!W24</f>
        <v/>
      </c>
      <c r="H36" s="422" t="n"/>
    </row>
    <row r="37">
      <c r="B37" s="334" t="n"/>
      <c r="C37" s="29" t="n"/>
      <c r="D37" s="38" t="inlineStr">
        <is>
          <t>Fresh Fruit</t>
        </is>
      </c>
      <c r="E37" s="41">
        <f>'Production Guide'!K27</f>
        <v/>
      </c>
      <c r="G37" s="330" t="inlineStr">
        <is>
          <t>C1- seasonal salad ingred, strawberries for fresh fruit &amp; pasta salad</t>
        </is>
      </c>
      <c r="H37" s="73" t="n"/>
    </row>
    <row r="38" ht="14.45" customHeight="1">
      <c r="B38" s="334" t="n"/>
      <c r="C38" s="29" t="n"/>
      <c r="D38" s="39" t="inlineStr">
        <is>
          <t>Grape Salad</t>
        </is>
      </c>
      <c r="E38" s="42">
        <f>'Production Guide'!K28</f>
        <v/>
      </c>
    </row>
    <row r="39" ht="14.45" customHeight="1" thickBot="1">
      <c r="B39" s="334" t="n"/>
      <c r="C39" s="29" t="n"/>
      <c r="D39" s="63" t="inlineStr">
        <is>
          <t>Pasta Salad</t>
        </is>
      </c>
      <c r="E39" s="62">
        <f>'Production Guide'!K29</f>
        <v/>
      </c>
    </row>
    <row r="40">
      <c r="C40" s="344" t="inlineStr">
        <is>
          <t>Broccoli salad yields (2) 1/2 pans.                                              Pasta Salad yields (3) 1/2 pans.</t>
        </is>
      </c>
      <c r="G40" s="331" t="inlineStr">
        <is>
          <t>C2 &amp; C3- sinks, sanitizer bucket, sanitize work stations, bowls &amp; lids</t>
        </is>
      </c>
    </row>
    <row r="41"/>
    <row r="42">
      <c r="A42" s="332" t="inlineStr">
        <is>
          <t>Sandwich line will quick chick the flavors highlighted.</t>
        </is>
      </c>
      <c r="G42" s="137" t="inlineStr">
        <is>
          <t>C4- Temperature logs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dAA7HN5hE+juucsoQV5TEw==" formatRows="1" sort="1" spinCount="100000" hashValue="dIS5Go+BGPyTKuWCoPvxsh9P6cUBN1WIq/kIw8iKcsZRyvHUrDEFfvlFse53MOMDgZTuSoRqtV5g+3ML8cQS3g=="/>
  <mergeCells count="12">
    <mergeCell ref="B39:C39"/>
    <mergeCell ref="G35:H35"/>
    <mergeCell ref="B38:C38"/>
    <mergeCell ref="B3:D3"/>
    <mergeCell ref="A42:F42"/>
    <mergeCell ref="C40:E41"/>
    <mergeCell ref="B37:C37"/>
    <mergeCell ref="G40:H41"/>
    <mergeCell ref="B36:C36"/>
    <mergeCell ref="G36:H36"/>
    <mergeCell ref="G37:H39"/>
    <mergeCell ref="A6:E8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3"/>
  <sheetViews>
    <sheetView topLeftCell="A4" workbookViewId="0">
      <selection activeCell="J35" sqref="J35"/>
    </sheetView>
  </sheetViews>
  <sheetFormatPr baseColWidth="8" defaultColWidth="8.85546875" defaultRowHeight="15"/>
  <cols>
    <col width="3.42578125" customWidth="1" min="1" max="2"/>
    <col width="5.42578125" customWidth="1" min="3" max="3"/>
    <col width="20.85546875" customWidth="1" min="4" max="4"/>
    <col width="12.140625" customWidth="1" min="5" max="5"/>
    <col width="4" customWidth="1" min="6" max="6"/>
    <col width="20" customWidth="1" min="7" max="7"/>
    <col width="5.42578125" customWidth="1" min="8" max="8"/>
    <col width="15.42578125" bestFit="1" customWidth="1" min="9" max="9"/>
    <col width="9.42578125" customWidth="1" min="10" max="10"/>
    <col width="11" customWidth="1" min="11" max="11"/>
    <col width="12.42578125" bestFit="1" customWidth="1" min="12" max="12"/>
  </cols>
  <sheetData>
    <row r="1">
      <c r="B1" s="363" t="inlineStr">
        <is>
          <t>Date:</t>
        </is>
      </c>
      <c r="C1" s="363" t="n"/>
      <c r="D1" s="75" t="n"/>
    </row>
    <row r="2">
      <c r="B2" s="363" t="n"/>
      <c r="C2" s="363" t="n"/>
    </row>
    <row r="3">
      <c r="B3" s="333" t="inlineStr">
        <is>
          <t>Today's Forecast:</t>
        </is>
      </c>
      <c r="E3" s="426">
        <f>'Production Guide'!E2</f>
        <v/>
      </c>
      <c r="F3" s="426" t="n"/>
    </row>
    <row r="5" ht="15.75" customHeight="1" thickBot="1"/>
    <row r="6" ht="15" customHeight="1" thickBot="1">
      <c r="A6" s="427" t="inlineStr">
        <is>
          <t>Daily Production List</t>
        </is>
      </c>
      <c r="B6" s="73" t="n"/>
      <c r="C6" s="73" t="n"/>
      <c r="D6" s="73" t="n"/>
      <c r="E6" s="180" t="n"/>
      <c r="G6" s="76" t="inlineStr">
        <is>
          <t>Item</t>
        </is>
      </c>
      <c r="H6" s="81" t="inlineStr">
        <is>
          <t>Prep</t>
        </is>
      </c>
    </row>
    <row r="7" ht="14.45" customHeight="1">
      <c r="A7" s="67" t="n"/>
      <c r="E7" s="29" t="n"/>
      <c r="G7" s="77" t="inlineStr">
        <is>
          <t>Broccoli Lexis</t>
        </is>
      </c>
      <c r="H7" s="40">
        <f>Future!AE5</f>
        <v/>
      </c>
    </row>
    <row r="8" ht="15" customHeight="1" thickBot="1">
      <c r="A8" s="414" t="n"/>
      <c r="B8" s="252" t="n"/>
      <c r="C8" s="252" t="n"/>
      <c r="D8" s="252" t="n"/>
      <c r="E8" s="415" t="n"/>
      <c r="G8" s="78" t="inlineStr">
        <is>
          <t>Wet Grape Lexis</t>
        </is>
      </c>
      <c r="H8" s="41">
        <f>Future!AE6</f>
        <v/>
      </c>
      <c r="J8" s="430" t="n"/>
    </row>
    <row r="9" ht="15.75" customHeight="1" thickBot="1">
      <c r="A9" s="46" t="inlineStr">
        <is>
          <t>SM</t>
        </is>
      </c>
      <c r="B9" s="46" t="inlineStr">
        <is>
          <t>QC</t>
        </is>
      </c>
      <c r="C9" s="47" t="inlineStr">
        <is>
          <t>Cook</t>
        </is>
      </c>
      <c r="D9" s="46" t="inlineStr">
        <is>
          <t>Flavor</t>
        </is>
      </c>
      <c r="E9" s="48" t="inlineStr">
        <is>
          <t>#'s to Prep</t>
        </is>
      </c>
      <c r="G9" s="78" t="inlineStr">
        <is>
          <t>Dry Grape Lexis</t>
        </is>
      </c>
      <c r="H9" s="41">
        <f>Future!AE7</f>
        <v/>
      </c>
      <c r="I9" s="26" t="n"/>
      <c r="J9" s="26" t="n"/>
      <c r="K9" s="26" t="n"/>
    </row>
    <row r="10">
      <c r="A10" s="131">
        <f>'Production Guide'!E8</f>
        <v/>
      </c>
      <c r="B10" s="132">
        <f>'Production Guide'!K8</f>
        <v/>
      </c>
      <c r="C10" s="94" t="inlineStr">
        <is>
          <t>C1</t>
        </is>
      </c>
      <c r="D10" s="28" t="inlineStr">
        <is>
          <t>Classic Carol</t>
        </is>
      </c>
      <c r="E10" s="34">
        <f>'Production Guide'!Y8</f>
        <v/>
      </c>
      <c r="G10" s="78" t="inlineStr">
        <is>
          <t>Pasta Salad Batches</t>
        </is>
      </c>
      <c r="H10" s="41">
        <f>Future!AE8</f>
        <v/>
      </c>
      <c r="J10" s="26" t="n"/>
      <c r="K10" s="349" t="n"/>
    </row>
    <row r="11" ht="15.75" customHeight="1" thickBot="1">
      <c r="A11" s="101">
        <f>'Production Guide'!E17</f>
        <v/>
      </c>
      <c r="B11" s="187">
        <f>'Production Guide'!K17</f>
        <v/>
      </c>
      <c r="C11" s="95" t="inlineStr">
        <is>
          <t>C1</t>
        </is>
      </c>
      <c r="D11" s="315" t="inlineStr">
        <is>
          <t>Olivia's Old South</t>
        </is>
      </c>
      <c r="E11" s="35">
        <f>'Production Guide'!Y17</f>
        <v/>
      </c>
      <c r="G11" s="79" t="inlineStr">
        <is>
          <t>Grape Salad Dressing</t>
        </is>
      </c>
      <c r="H11" s="228">
        <f>Future!AF9</f>
        <v/>
      </c>
      <c r="J11" s="26" t="n"/>
      <c r="K11" s="74" t="n"/>
      <c r="L11" s="74" t="n"/>
      <c r="M11" s="74" t="n"/>
    </row>
    <row r="12" ht="15.75" customHeight="1" thickBot="1">
      <c r="A12" s="101">
        <f>'Production Guide'!E12</f>
        <v/>
      </c>
      <c r="B12" s="187">
        <f>'Production Guide'!K12</f>
        <v/>
      </c>
      <c r="C12" s="95" t="inlineStr">
        <is>
          <t>C1</t>
        </is>
      </c>
      <c r="D12" s="315" t="inlineStr">
        <is>
          <t>Fruity Fran</t>
        </is>
      </c>
      <c r="E12" s="35">
        <f>'Production Guide'!Y12</f>
        <v/>
      </c>
      <c r="G12" s="73" t="n"/>
      <c r="H12" s="68" t="n"/>
      <c r="J12" s="26" t="n"/>
      <c r="K12" s="74" t="n"/>
      <c r="L12" s="74" t="n"/>
      <c r="M12" s="74" t="n"/>
    </row>
    <row r="13" ht="16.5" customHeight="1" thickBot="1">
      <c r="A13" s="101">
        <f>'Production Guide'!E19</f>
        <v/>
      </c>
      <c r="B13" s="187">
        <f>'Production Guide'!K19</f>
        <v/>
      </c>
      <c r="C13" s="95" t="inlineStr">
        <is>
          <t>C1</t>
        </is>
      </c>
      <c r="D13" s="315" t="inlineStr">
        <is>
          <t>LTO</t>
        </is>
      </c>
      <c r="E13" s="35">
        <f>'Production Guide'!Y19</f>
        <v/>
      </c>
      <c r="G13" s="47" t="inlineStr">
        <is>
          <t>Salads</t>
        </is>
      </c>
      <c r="H13" s="65" t="inlineStr">
        <is>
          <t>Par</t>
        </is>
      </c>
      <c r="J13" s="24" t="n"/>
      <c r="K13" s="74" t="n"/>
      <c r="L13" s="74" t="n"/>
      <c r="M13" s="74" t="n"/>
    </row>
    <row r="14" ht="18" customHeight="1">
      <c r="A14" s="102">
        <f>'Production Guide'!E6</f>
        <v/>
      </c>
      <c r="B14" s="179">
        <f>'Production Guide'!K6</f>
        <v/>
      </c>
      <c r="C14" s="109" t="inlineStr">
        <is>
          <t>C1</t>
        </is>
      </c>
      <c r="D14" s="88" t="inlineStr">
        <is>
          <t>Barbie Q</t>
        </is>
      </c>
      <c r="E14" s="35">
        <f>'Production Guide'!Y6</f>
        <v/>
      </c>
      <c r="G14" s="43" t="inlineStr">
        <is>
          <t>Classic Salads</t>
        </is>
      </c>
      <c r="H14" s="51">
        <f>'All Data'!G85</f>
        <v/>
      </c>
      <c r="J14" s="24" t="n"/>
      <c r="K14" s="74" t="n"/>
      <c r="L14" s="74" t="n"/>
      <c r="M14" s="74" t="n"/>
    </row>
    <row r="15" ht="18.75" customHeight="1" thickBot="1">
      <c r="A15" s="102">
        <f>'Production Guide'!E10</f>
        <v/>
      </c>
      <c r="B15" s="140">
        <f>'Production Guide'!K10</f>
        <v/>
      </c>
      <c r="C15" s="109" t="inlineStr">
        <is>
          <t>C1</t>
        </is>
      </c>
      <c r="D15" s="143" t="inlineStr">
        <is>
          <t>Dixie Chick</t>
        </is>
      </c>
      <c r="E15" s="144">
        <f>'Production Guide'!Y10</f>
        <v/>
      </c>
      <c r="G15" s="44" t="inlineStr">
        <is>
          <t>Seasonal Salads</t>
        </is>
      </c>
      <c r="H15" s="83">
        <f>'All Data'!G86</f>
        <v/>
      </c>
      <c r="I15" s="64" t="n"/>
      <c r="J15" s="24" t="n"/>
      <c r="K15" s="23" t="n"/>
    </row>
    <row r="16" ht="18.75" customHeight="1" thickTop="1">
      <c r="A16" s="141">
        <f>'Production Guide'!E9</f>
        <v/>
      </c>
      <c r="B16" s="135">
        <f>'Production Guide'!K9</f>
        <v/>
      </c>
      <c r="C16" s="142" t="inlineStr">
        <is>
          <t>C2</t>
        </is>
      </c>
      <c r="D16" s="3" t="inlineStr">
        <is>
          <t>Cranberry Kelli</t>
        </is>
      </c>
      <c r="E16" s="69">
        <f>'Production Guide'!Y9</f>
        <v/>
      </c>
      <c r="J16" s="24" t="n"/>
      <c r="K16" s="23" t="n"/>
    </row>
    <row r="17" ht="18" customHeight="1">
      <c r="A17" s="133">
        <f>'Production Guide'!E11</f>
        <v/>
      </c>
      <c r="B17" s="134">
        <f>'Production Guide'!K11</f>
        <v/>
      </c>
      <c r="C17" s="96" t="inlineStr">
        <is>
          <t>C2</t>
        </is>
      </c>
      <c r="D17" s="315" t="inlineStr">
        <is>
          <t>Fancy Nancy</t>
        </is>
      </c>
      <c r="E17" s="35">
        <f>'Production Guide'!Y11</f>
        <v/>
      </c>
      <c r="J17" s="24" t="n"/>
      <c r="K17" s="23" t="n"/>
    </row>
    <row r="18" ht="18" customHeight="1">
      <c r="A18" s="101">
        <f>'Production Guide'!E16</f>
        <v/>
      </c>
      <c r="B18" s="187">
        <f>'Production Guide'!K16</f>
        <v/>
      </c>
      <c r="C18" s="96" t="inlineStr">
        <is>
          <t>C2</t>
        </is>
      </c>
      <c r="D18" s="130" t="inlineStr">
        <is>
          <t>Local Flavor</t>
        </is>
      </c>
      <c r="E18" s="35">
        <f>'Production Guide'!Y16</f>
        <v/>
      </c>
      <c r="J18" s="24" t="n"/>
      <c r="K18" s="23" t="n"/>
    </row>
    <row r="19" ht="18" customHeight="1">
      <c r="A19" s="101">
        <f>'Production Guide'!E15</f>
        <v/>
      </c>
      <c r="B19" s="187">
        <f>'Production Guide'!K15</f>
        <v/>
      </c>
      <c r="C19" s="96" t="inlineStr">
        <is>
          <t>C2</t>
        </is>
      </c>
      <c r="D19" s="315" t="inlineStr">
        <is>
          <t>Lauryn's Lemon Basil</t>
        </is>
      </c>
      <c r="E19" s="35">
        <f>'Production Guide'!Y15</f>
        <v/>
      </c>
      <c r="J19" s="24" t="n"/>
      <c r="K19" s="23" t="n"/>
    </row>
    <row r="20" ht="18" customHeight="1">
      <c r="A20" s="136">
        <f>'Production Guide'!E21</f>
        <v/>
      </c>
      <c r="B20" s="134">
        <f>'Production Guide'!K21</f>
        <v/>
      </c>
      <c r="C20" s="96" t="inlineStr">
        <is>
          <t>C2</t>
        </is>
      </c>
      <c r="D20" s="315" t="inlineStr">
        <is>
          <t>Pimento Cheese</t>
        </is>
      </c>
      <c r="E20" s="35">
        <f>'Production Guide'!Y21</f>
        <v/>
      </c>
      <c r="F20" s="66" t="n"/>
      <c r="J20" s="24" t="n"/>
      <c r="K20" s="23" t="n"/>
      <c r="R20" s="52" t="n"/>
      <c r="S20" s="52" t="n"/>
      <c r="T20" s="52" t="n"/>
      <c r="U20" s="52" t="n"/>
      <c r="V20" s="52" t="n"/>
      <c r="W20" s="52" t="n"/>
      <c r="X20" s="52" t="n"/>
      <c r="Y20" s="52" t="n"/>
      <c r="Z20" s="52" t="n"/>
      <c r="AA20" s="52" t="n"/>
    </row>
    <row r="21" ht="18.75" customHeight="1" thickBot="1">
      <c r="A21" s="147">
        <f>'Production Guide'!E22</f>
        <v/>
      </c>
      <c r="B21" s="146">
        <f>'Production Guide'!K22</f>
        <v/>
      </c>
      <c r="C21" s="110" t="inlineStr">
        <is>
          <t>C2</t>
        </is>
      </c>
      <c r="D21" s="143" t="inlineStr">
        <is>
          <t>Spicy Pimento Cheese</t>
        </is>
      </c>
      <c r="E21" s="89">
        <f>'Production Guide'!Y22</f>
        <v/>
      </c>
      <c r="F21" s="54" t="inlineStr">
        <is>
          <t>KKL</t>
        </is>
      </c>
      <c r="G21" s="32" t="n"/>
      <c r="J21" s="24" t="n"/>
      <c r="K21" s="23" t="n"/>
      <c r="R21" s="52" t="n"/>
      <c r="S21" s="52" t="n"/>
      <c r="T21" s="52" t="n"/>
      <c r="U21" s="52" t="n"/>
      <c r="V21" s="52" t="n"/>
      <c r="W21" s="52" t="n"/>
      <c r="X21" s="52" t="n"/>
      <c r="Y21" s="52" t="n"/>
      <c r="Z21" s="52" t="n"/>
      <c r="AA21" s="52" t="n"/>
    </row>
    <row r="22" ht="18.75" customHeight="1" thickTop="1">
      <c r="A22" s="136">
        <f>'Production Guide'!E18</f>
        <v/>
      </c>
      <c r="B22" s="135">
        <f>'Production Guide'!K18</f>
        <v/>
      </c>
      <c r="C22" s="142" t="inlineStr">
        <is>
          <t>C3</t>
        </is>
      </c>
      <c r="D22" s="3" t="inlineStr">
        <is>
          <t>Sassy Scotty</t>
        </is>
      </c>
      <c r="E22" s="145">
        <f>'Production Guide'!Y18</f>
        <v/>
      </c>
      <c r="F22" s="98">
        <f>E25/3</f>
        <v/>
      </c>
      <c r="G22" s="32" t="n"/>
      <c r="H22" s="45" t="n"/>
      <c r="I22" s="25" t="n"/>
      <c r="J22" s="24" t="n"/>
      <c r="K22" s="23" t="n"/>
      <c r="R22" s="52" t="n"/>
      <c r="S22" s="52" t="n"/>
      <c r="T22" s="52" t="n"/>
      <c r="U22" s="52" t="n"/>
      <c r="V22" s="52" t="n"/>
      <c r="W22" s="52" t="n"/>
      <c r="X22" s="52" t="n"/>
      <c r="Y22" s="52" t="n"/>
      <c r="Z22" s="52" t="n"/>
      <c r="AA22" s="52" t="n"/>
    </row>
    <row r="23" ht="18" customHeight="1">
      <c r="A23" s="101">
        <f>'Production Guide'!E13</f>
        <v/>
      </c>
      <c r="B23" s="187">
        <f>'Production Guide'!K13</f>
        <v/>
      </c>
      <c r="C23" s="96" t="inlineStr">
        <is>
          <t>C3</t>
        </is>
      </c>
      <c r="D23" s="315" t="inlineStr">
        <is>
          <t>Jalapeño Holly</t>
        </is>
      </c>
      <c r="E23" s="293">
        <f>'Production Guide'!Y13</f>
        <v/>
      </c>
      <c r="F23" s="98">
        <f>E25/3</f>
        <v/>
      </c>
      <c r="G23" s="32" t="n"/>
      <c r="H23" s="23" t="n"/>
      <c r="I23" s="25" t="n"/>
      <c r="J23" s="24" t="n"/>
      <c r="K23" s="23" t="n"/>
      <c r="R23" s="52" t="n"/>
      <c r="S23" s="52" t="n"/>
      <c r="T23" s="52" t="n"/>
      <c r="U23" s="52" t="n"/>
      <c r="V23" s="52" t="n"/>
      <c r="W23" s="52" t="n"/>
      <c r="X23" s="52" t="n"/>
      <c r="Y23" s="52" t="n"/>
      <c r="Z23" s="52" t="n"/>
      <c r="AA23" s="52" t="n"/>
    </row>
    <row r="24" ht="18" customHeight="1">
      <c r="A24" s="101">
        <f>'Production Guide'!E7</f>
        <v/>
      </c>
      <c r="B24" s="187">
        <f>'Production Guide'!K7</f>
        <v/>
      </c>
      <c r="C24" s="96" t="inlineStr">
        <is>
          <t>C3</t>
        </is>
      </c>
      <c r="D24" s="315" t="inlineStr">
        <is>
          <t>Buffalo Barclay</t>
        </is>
      </c>
      <c r="E24" s="293">
        <f>'Production Guide'!Y7</f>
        <v/>
      </c>
      <c r="F24" s="99">
        <f>E25/3</f>
        <v/>
      </c>
      <c r="H24" s="23" t="n"/>
      <c r="I24" s="25" t="n"/>
      <c r="J24" s="23" t="n"/>
      <c r="R24" s="52" t="n"/>
      <c r="S24" s="52" t="n"/>
      <c r="T24" s="52" t="n"/>
      <c r="U24" s="52" t="n"/>
      <c r="V24" s="52" t="n"/>
      <c r="W24" s="52" t="n"/>
      <c r="X24" s="52" t="n"/>
      <c r="Y24" s="52" t="n"/>
      <c r="Z24" s="52" t="n"/>
      <c r="AA24" s="52" t="n"/>
    </row>
    <row r="25" ht="18" customHeight="1">
      <c r="A25" s="102">
        <f>'Production Guide'!E14</f>
        <v/>
      </c>
      <c r="B25" s="187">
        <f>'Production Guide'!K14</f>
        <v/>
      </c>
      <c r="C25" s="96" t="inlineStr">
        <is>
          <t>C3</t>
        </is>
      </c>
      <c r="D25" s="315" t="inlineStr">
        <is>
          <t>Kickin Kay Lynne</t>
        </is>
      </c>
      <c r="E25" s="35">
        <f>MROUND('Production Guide'!Y14,3)</f>
        <v/>
      </c>
      <c r="J25" s="23" t="n"/>
      <c r="R25" s="52" t="n"/>
      <c r="S25" s="52" t="n"/>
      <c r="T25" s="52" t="n"/>
      <c r="U25" s="52" t="n"/>
      <c r="V25" s="52" t="n"/>
      <c r="W25" s="52" t="n"/>
      <c r="X25" s="52" t="n"/>
      <c r="Y25" s="52" t="n"/>
      <c r="Z25" s="52" t="n"/>
      <c r="AA25" s="52" t="n"/>
    </row>
    <row r="26" ht="18.75" customHeight="1" thickBot="1">
      <c r="A26" s="181">
        <f>'Production Guide'!E20</f>
        <v/>
      </c>
      <c r="B26" s="241">
        <f>'Production Guide'!K20</f>
        <v/>
      </c>
      <c r="C26" s="232" t="inlineStr">
        <is>
          <t>C3</t>
        </is>
      </c>
      <c r="D26" s="88" t="inlineStr">
        <is>
          <t xml:space="preserve">Egg Salad </t>
        </is>
      </c>
      <c r="E26" s="35">
        <f>'Production Guide'!Y20</f>
        <v/>
      </c>
      <c r="J26" s="23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</row>
    <row r="27" ht="18.75" customHeight="1" thickBot="1">
      <c r="C27" s="29" t="n"/>
      <c r="D27" s="233" t="inlineStr">
        <is>
          <t>Total Mixed Flavors</t>
        </is>
      </c>
      <c r="E27" s="72">
        <f>SUM(E10:E25)-E20-E21-E25</f>
        <v/>
      </c>
      <c r="J27" s="23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</row>
    <row r="28" ht="18.75" customHeight="1" thickBot="1">
      <c r="E28" s="68" t="n"/>
      <c r="F28" s="67" t="n"/>
      <c r="G28" s="86" t="inlineStr">
        <is>
          <t>Salad Item Prep</t>
        </is>
      </c>
      <c r="H28" s="48" t="n"/>
      <c r="I28" s="85" t="n"/>
      <c r="J28" s="23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</row>
    <row r="29" ht="15.75" customHeight="1" thickBot="1">
      <c r="C29" s="49" t="inlineStr">
        <is>
          <t>Cook</t>
        </is>
      </c>
      <c r="D29" s="49" t="inlineStr">
        <is>
          <t>Ingredient</t>
        </is>
      </c>
      <c r="E29" s="49" t="inlineStr">
        <is>
          <t>Cups to Prep</t>
        </is>
      </c>
      <c r="G29" s="66" t="inlineStr">
        <is>
          <t>Salad Mix</t>
        </is>
      </c>
      <c r="H29" s="203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</row>
    <row r="30">
      <c r="C30" s="53" t="inlineStr">
        <is>
          <t>C1</t>
        </is>
      </c>
      <c r="D30" s="31" t="inlineStr">
        <is>
          <t>Apples</t>
        </is>
      </c>
      <c r="E30" s="34">
        <f>(E17+E12)*0.25</f>
        <v/>
      </c>
      <c r="G30" s="66" t="inlineStr">
        <is>
          <t>Strawberries</t>
        </is>
      </c>
      <c r="H30" s="84" t="n"/>
      <c r="I30" s="67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</row>
    <row r="31">
      <c r="C31" s="54" t="inlineStr">
        <is>
          <t>C1</t>
        </is>
      </c>
      <c r="D31" s="15" t="inlineStr">
        <is>
          <t>Eggs</t>
        </is>
      </c>
      <c r="E31" s="35">
        <f>E11*0.25</f>
        <v/>
      </c>
      <c r="G31" s="14" t="inlineStr">
        <is>
          <t>Unpeeled Apples</t>
        </is>
      </c>
      <c r="H31" s="84" t="n"/>
    </row>
    <row r="32" ht="15.75" customHeight="1" thickBot="1">
      <c r="C32" s="54" t="inlineStr">
        <is>
          <t>C1</t>
        </is>
      </c>
      <c r="D32" s="15" t="inlineStr">
        <is>
          <t>Onions</t>
        </is>
      </c>
      <c r="E32" s="35">
        <f>E15*0.25</f>
        <v/>
      </c>
      <c r="G32" s="44" t="inlineStr">
        <is>
          <t>Cucumbers</t>
        </is>
      </c>
      <c r="H32" s="154" t="n"/>
    </row>
    <row r="33" ht="15.75" customHeight="1" thickBot="1">
      <c r="C33" s="54" t="inlineStr">
        <is>
          <t>C1</t>
        </is>
      </c>
      <c r="D33" s="315" t="inlineStr">
        <is>
          <t>Bacon</t>
        </is>
      </c>
      <c r="E33" s="293">
        <f>(E22*0.25)+(E18*0.25)</f>
        <v/>
      </c>
      <c r="F33" s="67" t="n"/>
    </row>
    <row r="34" ht="15.75" customHeight="1" thickBot="1">
      <c r="B34" s="29" t="n"/>
      <c r="C34" s="55" t="inlineStr">
        <is>
          <t>C1</t>
        </is>
      </c>
      <c r="D34" s="10" t="inlineStr">
        <is>
          <t>Pineapple</t>
        </is>
      </c>
      <c r="E34" s="89">
        <f>E12*0.25</f>
        <v/>
      </c>
      <c r="F34" s="29" t="n"/>
      <c r="G34" s="428" t="inlineStr">
        <is>
          <t>Classic Carol for Tomorrow</t>
        </is>
      </c>
      <c r="H34" s="422" t="n"/>
    </row>
    <row r="35" ht="15.75" customHeight="1" thickBot="1">
      <c r="B35" s="334" t="n"/>
      <c r="C35" s="29" t="n"/>
      <c r="D35" s="192" t="inlineStr">
        <is>
          <t>Side</t>
        </is>
      </c>
      <c r="E35" s="81" t="inlineStr">
        <is>
          <t>1/2 Pans</t>
        </is>
      </c>
      <c r="G35" s="429">
        <f>Future!W24</f>
        <v/>
      </c>
      <c r="H35" s="422" t="n"/>
    </row>
    <row r="36">
      <c r="B36" s="334" t="n"/>
      <c r="C36" s="29" t="n"/>
      <c r="D36" s="37" t="inlineStr">
        <is>
          <t>Broccoli Salad</t>
        </is>
      </c>
      <c r="E36" s="40">
        <f>'Production Guide'!K26</f>
        <v/>
      </c>
    </row>
    <row r="37" ht="15" customHeight="1">
      <c r="B37" s="334" t="n"/>
      <c r="C37" s="29" t="n"/>
      <c r="D37" s="38" t="inlineStr">
        <is>
          <t>Fresh Fruit</t>
        </is>
      </c>
      <c r="E37" s="41">
        <f>'Production Guide'!K27</f>
        <v/>
      </c>
      <c r="G37" s="331" t="inlineStr">
        <is>
          <t>C1- seasonal salad ingred, strawberries for fresh fruit &amp; pasta salad</t>
        </is>
      </c>
    </row>
    <row r="38" ht="14.45" customHeight="1">
      <c r="B38" s="334" t="n"/>
      <c r="C38" s="29" t="n"/>
      <c r="D38" s="39" t="inlineStr">
        <is>
          <t>Grape Salad</t>
        </is>
      </c>
      <c r="E38" s="42">
        <f>'Production Guide'!K28</f>
        <v/>
      </c>
    </row>
    <row r="39" ht="14.45" customHeight="1" thickBot="1">
      <c r="B39" s="334" t="n"/>
      <c r="C39" s="29" t="n"/>
      <c r="D39" s="63" t="inlineStr">
        <is>
          <t>Pasta Salad</t>
        </is>
      </c>
      <c r="E39" s="62">
        <f>'Production Guide'!K29</f>
        <v/>
      </c>
      <c r="I39" s="153" t="n"/>
      <c r="J39" s="153" t="n"/>
    </row>
    <row r="40">
      <c r="C40" s="26" t="n"/>
      <c r="G40" s="331" t="inlineStr">
        <is>
          <t>C2 &amp; C3- sinks, sanitizer bucket, sanitize work stations, bowls &amp; lids</t>
        </is>
      </c>
      <c r="I40" s="153" t="n"/>
      <c r="J40" s="153" t="n"/>
    </row>
    <row r="41">
      <c r="C41" s="344" t="inlineStr">
        <is>
          <t>Broccoli salad yields (2) 1/2 pans.                                              Pasta Salad yields (3) 1/2 pans.</t>
        </is>
      </c>
      <c r="I41" s="153" t="n"/>
      <c r="J41" s="153" t="n"/>
    </row>
    <row r="42" ht="14.45" customHeight="1">
      <c r="G42" s="137" t="inlineStr">
        <is>
          <t>C4- Temperature logs</t>
        </is>
      </c>
    </row>
    <row r="43">
      <c r="A43" s="332" t="inlineStr">
        <is>
          <t>Sandwich line will quick chick the flavors highlighted.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mzR3oeP01mG41Capu0L2EQ==" formatRows="1" sort="1" spinCount="100000" hashValue="iKoSxW79HUHyTZhBI1kB6DWAj+4pGU/4fx0Pqei0qe35DDkOxU8voTokZ5PrKfP/8EQMmx2ijcKNBt824rQ83w=="/>
  <mergeCells count="14">
    <mergeCell ref="B39:C39"/>
    <mergeCell ref="G35:H35"/>
    <mergeCell ref="B38:C38"/>
    <mergeCell ref="G34:H34"/>
    <mergeCell ref="B3:D3"/>
    <mergeCell ref="K10:M10"/>
    <mergeCell ref="B37:C37"/>
    <mergeCell ref="G40:H41"/>
    <mergeCell ref="B36:C36"/>
    <mergeCell ref="G37:H39"/>
    <mergeCell ref="A6:E8"/>
    <mergeCell ref="C41:E42"/>
    <mergeCell ref="B35:C35"/>
    <mergeCell ref="A43:F43"/>
  </mergeCells>
  <pageMargins left="0.7" right="0.7" top="0.75" bottom="0.75" header="0.3" footer="0.3"/>
  <pageSetup orientation="portrait" blackAndWhite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5"/>
  <sheetViews>
    <sheetView zoomScaleNormal="100" zoomScalePageLayoutView="60" workbookViewId="0">
      <selection activeCell="J19" sqref="J19"/>
    </sheetView>
  </sheetViews>
  <sheetFormatPr baseColWidth="8" defaultColWidth="8.85546875" defaultRowHeight="15"/>
  <cols>
    <col width="3.42578125" customWidth="1" min="1" max="1"/>
    <col width="3.42578125" bestFit="1" customWidth="1" min="2" max="2"/>
    <col width="5.42578125" bestFit="1" customWidth="1" min="3" max="3"/>
    <col width="20.85546875" bestFit="1" customWidth="1" min="4" max="4"/>
    <col width="12.140625" bestFit="1" customWidth="1" min="5" max="5"/>
    <col width="4" customWidth="1" min="6" max="6"/>
    <col width="20" customWidth="1" min="7" max="7"/>
    <col width="5.42578125" bestFit="1" customWidth="1" min="8" max="8"/>
    <col width="4.42578125" customWidth="1" min="9" max="9"/>
    <col width="11.42578125" bestFit="1" customWidth="1" min="10" max="10"/>
    <col width="9.42578125" customWidth="1" min="11" max="11"/>
    <col width="11" customWidth="1" min="12" max="12"/>
    <col width="12.42578125" bestFit="1" customWidth="1" min="13" max="13"/>
  </cols>
  <sheetData>
    <row r="1">
      <c r="B1" s="363" t="inlineStr">
        <is>
          <t>Date:</t>
        </is>
      </c>
      <c r="C1" s="363" t="n"/>
      <c r="D1" s="75" t="n"/>
    </row>
    <row r="2">
      <c r="B2" s="363" t="n"/>
      <c r="C2" s="363" t="n"/>
    </row>
    <row r="3">
      <c r="B3" s="333" t="inlineStr">
        <is>
          <t>Today's Forecast:</t>
        </is>
      </c>
      <c r="E3" s="426">
        <f>'Production Guide'!E2</f>
        <v/>
      </c>
      <c r="F3" s="426" t="n"/>
    </row>
    <row r="4" ht="15" customHeight="1"/>
    <row r="5" ht="15" customHeight="1" thickBot="1"/>
    <row r="6" ht="15.75" customHeight="1" thickBot="1">
      <c r="A6" s="427" t="inlineStr">
        <is>
          <t>Daily Production List</t>
        </is>
      </c>
      <c r="B6" s="73" t="n"/>
      <c r="C6" s="73" t="n"/>
      <c r="D6" s="73" t="n"/>
      <c r="E6" s="180" t="n"/>
      <c r="G6" s="76" t="inlineStr">
        <is>
          <t>Item</t>
        </is>
      </c>
      <c r="H6" s="81" t="inlineStr">
        <is>
          <t>Prep</t>
        </is>
      </c>
    </row>
    <row r="7" ht="15" customHeight="1">
      <c r="A7" s="67" t="n"/>
      <c r="E7" s="29" t="n"/>
      <c r="G7" s="77" t="inlineStr">
        <is>
          <t>Broccoli Lexis</t>
        </is>
      </c>
      <c r="H7" s="40">
        <f>Future!AE5</f>
        <v/>
      </c>
    </row>
    <row r="8" ht="15.75" customHeight="1" thickBot="1">
      <c r="A8" s="414" t="n"/>
      <c r="B8" s="252" t="n"/>
      <c r="C8" s="252" t="n"/>
      <c r="D8" s="252" t="n"/>
      <c r="E8" s="415" t="n"/>
      <c r="G8" s="78" t="inlineStr">
        <is>
          <t>Wet Grape Lexis</t>
        </is>
      </c>
      <c r="H8" s="42">
        <f>Future!AE6</f>
        <v/>
      </c>
      <c r="J8" s="430" t="n"/>
    </row>
    <row r="9" ht="15.75" customHeight="1" thickBot="1">
      <c r="A9" s="100" t="inlineStr">
        <is>
          <t>SM</t>
        </is>
      </c>
      <c r="B9" s="104" t="inlineStr">
        <is>
          <t>LG</t>
        </is>
      </c>
      <c r="C9" s="103" t="inlineStr">
        <is>
          <t>Cook</t>
        </is>
      </c>
      <c r="D9" s="106" t="inlineStr">
        <is>
          <t>Flavor</t>
        </is>
      </c>
      <c r="E9" s="107" t="inlineStr">
        <is>
          <t>#'s to Prep</t>
        </is>
      </c>
      <c r="G9" s="78" t="inlineStr">
        <is>
          <t>Dry Grape Lexis</t>
        </is>
      </c>
      <c r="H9" s="42">
        <f>Future!AE7</f>
        <v/>
      </c>
      <c r="I9" s="26" t="n"/>
      <c r="J9" s="26" t="n"/>
    </row>
    <row r="10">
      <c r="A10" s="131">
        <f>'Production Guide'!E8</f>
        <v/>
      </c>
      <c r="B10" s="132">
        <f>'Production Guide'!K8</f>
        <v/>
      </c>
      <c r="C10" s="94" t="inlineStr">
        <is>
          <t>C2</t>
        </is>
      </c>
      <c r="D10" s="28" t="inlineStr">
        <is>
          <t>Classic Carol</t>
        </is>
      </c>
      <c r="E10" s="34">
        <f>'Production Guide'!Y8</f>
        <v/>
      </c>
      <c r="G10" s="78" t="inlineStr">
        <is>
          <t>Pasta Salad Batches</t>
        </is>
      </c>
      <c r="H10" s="42">
        <f>Future!AE8</f>
        <v/>
      </c>
      <c r="J10" s="26" t="n"/>
    </row>
    <row r="11" ht="15.75" customHeight="1" thickBot="1">
      <c r="A11" s="101">
        <f>'Production Guide'!E17</f>
        <v/>
      </c>
      <c r="B11" s="187">
        <f>'Production Guide'!K17</f>
        <v/>
      </c>
      <c r="C11" s="95" t="inlineStr">
        <is>
          <t>C2</t>
        </is>
      </c>
      <c r="D11" s="315" t="inlineStr">
        <is>
          <t>Olivia's Old South</t>
        </is>
      </c>
      <c r="E11" s="35">
        <f>'Production Guide'!Y17</f>
        <v/>
      </c>
      <c r="G11" s="79" t="inlineStr">
        <is>
          <t>Grape Salad Dressing</t>
        </is>
      </c>
      <c r="H11" s="62">
        <f>Future!AF9</f>
        <v/>
      </c>
      <c r="J11" s="26" t="n"/>
    </row>
    <row r="12" ht="15.75" customHeight="1" thickBot="1">
      <c r="A12" s="101">
        <f>'Production Guide'!E12</f>
        <v/>
      </c>
      <c r="B12" s="187">
        <f>'Production Guide'!K12</f>
        <v/>
      </c>
      <c r="C12" s="95" t="inlineStr">
        <is>
          <t>C2</t>
        </is>
      </c>
      <c r="D12" s="315" t="inlineStr">
        <is>
          <t>Fruity Fran</t>
        </is>
      </c>
      <c r="E12" s="35">
        <f>'Production Guide'!Y12</f>
        <v/>
      </c>
      <c r="G12" s="73" t="n"/>
      <c r="H12" s="68" t="n"/>
      <c r="J12" s="26" t="n"/>
    </row>
    <row r="13" ht="16.5" customHeight="1" thickBot="1">
      <c r="A13" s="101">
        <f>'Production Guide'!E19</f>
        <v/>
      </c>
      <c r="B13" s="187">
        <f>'Production Guide'!K19</f>
        <v/>
      </c>
      <c r="C13" s="95" t="inlineStr">
        <is>
          <t>C2</t>
        </is>
      </c>
      <c r="D13" s="315" t="inlineStr">
        <is>
          <t>LTO</t>
        </is>
      </c>
      <c r="E13" s="35">
        <f>'Production Guide'!Y19</f>
        <v/>
      </c>
      <c r="G13" s="47" t="inlineStr">
        <is>
          <t>Salads</t>
        </is>
      </c>
      <c r="H13" s="65" t="inlineStr">
        <is>
          <t>Par</t>
        </is>
      </c>
      <c r="J13" s="24" t="n"/>
    </row>
    <row r="14" ht="18.75" customHeight="1" thickBot="1">
      <c r="A14" s="102">
        <f>'Production Guide'!E10</f>
        <v/>
      </c>
      <c r="B14" s="179">
        <f>'Production Guide'!K10</f>
        <v/>
      </c>
      <c r="C14" s="110" t="inlineStr">
        <is>
          <t>C2</t>
        </is>
      </c>
      <c r="D14" s="143" t="inlineStr">
        <is>
          <t>Dixie Chick</t>
        </is>
      </c>
      <c r="E14" s="144">
        <f>'Production Guide'!Y10</f>
        <v/>
      </c>
      <c r="G14" s="43" t="inlineStr">
        <is>
          <t>Classic Salads</t>
        </is>
      </c>
      <c r="H14" s="257">
        <f>'All Data'!G85</f>
        <v/>
      </c>
      <c r="J14" s="24" t="n"/>
    </row>
    <row r="15" ht="19.5" customHeight="1" thickBot="1" thickTop="1">
      <c r="A15" s="141">
        <f>'Production Guide'!E9</f>
        <v/>
      </c>
      <c r="B15" s="150">
        <f>'Production Guide'!K9</f>
        <v/>
      </c>
      <c r="C15" s="142" t="inlineStr">
        <is>
          <t>C3</t>
        </is>
      </c>
      <c r="D15" s="3" t="inlineStr">
        <is>
          <t>Cranberry Kelli</t>
        </is>
      </c>
      <c r="E15" s="69">
        <f>'Production Guide'!Y9</f>
        <v/>
      </c>
      <c r="G15" s="44" t="inlineStr">
        <is>
          <t>Seasonal Salads</t>
        </is>
      </c>
      <c r="H15" s="258">
        <f>'All Data'!G86</f>
        <v/>
      </c>
      <c r="I15" s="64" t="n"/>
      <c r="J15" s="24" t="n"/>
    </row>
    <row r="16" ht="18" customHeight="1">
      <c r="A16" s="133">
        <f>'Production Guide'!E11</f>
        <v/>
      </c>
      <c r="B16" s="134">
        <f>'Production Guide'!K11</f>
        <v/>
      </c>
      <c r="C16" s="96" t="inlineStr">
        <is>
          <t>C3</t>
        </is>
      </c>
      <c r="D16" s="130" t="inlineStr">
        <is>
          <t>Fancy Nancy</t>
        </is>
      </c>
      <c r="E16" s="35">
        <f>'Production Guide'!Y11</f>
        <v/>
      </c>
      <c r="H16" s="73" t="n"/>
      <c r="J16" s="24" t="n"/>
      <c r="K16" s="23" t="n"/>
    </row>
    <row r="17" ht="18" customHeight="1">
      <c r="A17" s="102">
        <f>'Production Guide'!E16</f>
        <v/>
      </c>
      <c r="B17" s="187">
        <f>'Production Guide'!K16</f>
        <v/>
      </c>
      <c r="C17" s="96" t="inlineStr">
        <is>
          <t>C3</t>
        </is>
      </c>
      <c r="D17" s="315" t="inlineStr">
        <is>
          <t>Local Flavor</t>
        </is>
      </c>
      <c r="E17" s="35">
        <f>'Production Guide'!Y16</f>
        <v/>
      </c>
      <c r="J17" s="24" t="n"/>
      <c r="K17" s="23" t="n"/>
    </row>
    <row r="18" ht="18.75" customHeight="1" thickBot="1">
      <c r="A18" s="102">
        <f>'Production Guide'!E15</f>
        <v/>
      </c>
      <c r="B18" s="187">
        <f>'Production Guide'!K15</f>
        <v/>
      </c>
      <c r="C18" s="96" t="inlineStr">
        <is>
          <t>C3</t>
        </is>
      </c>
      <c r="D18" s="315" t="inlineStr">
        <is>
          <t>Lauryn's Lemon Basil</t>
        </is>
      </c>
      <c r="E18" s="35">
        <f>'Production Guide'!Y15</f>
        <v/>
      </c>
      <c r="J18" s="24" t="n"/>
      <c r="K18" s="23" t="n"/>
    </row>
    <row r="19" ht="18.75" customHeight="1" thickBot="1">
      <c r="A19" s="133">
        <f>'Production Guide'!E21</f>
        <v/>
      </c>
      <c r="B19" s="134">
        <f>'Production Guide'!K21</f>
        <v/>
      </c>
      <c r="C19" s="96" t="inlineStr">
        <is>
          <t>C3</t>
        </is>
      </c>
      <c r="D19" s="315" t="inlineStr">
        <is>
          <t>Pimento Cheese</t>
        </is>
      </c>
      <c r="E19" s="35">
        <f>'Production Guide'!Y21</f>
        <v/>
      </c>
      <c r="J19" s="259" t="n"/>
      <c r="K19" s="23" t="n"/>
    </row>
    <row r="20" ht="18.75" customHeight="1" thickBot="1">
      <c r="A20" s="138">
        <f>'Production Guide'!E22</f>
        <v/>
      </c>
      <c r="B20" s="139">
        <f>'Production Guide'!K22</f>
        <v/>
      </c>
      <c r="C20" s="110" t="inlineStr">
        <is>
          <t>C3</t>
        </is>
      </c>
      <c r="D20" s="143" t="inlineStr">
        <is>
          <t>Spicy Pimento Cheese</t>
        </is>
      </c>
      <c r="E20" s="144">
        <f>'Production Guide'!Y22</f>
        <v/>
      </c>
      <c r="F20" s="349" t="inlineStr">
        <is>
          <t>KKL</t>
        </is>
      </c>
      <c r="J20" s="24" t="n"/>
      <c r="K20" s="23" t="n"/>
    </row>
    <row r="21" ht="18.75" customHeight="1" thickTop="1">
      <c r="A21" s="141">
        <f>'Production Guide'!E18</f>
        <v/>
      </c>
      <c r="B21" s="150">
        <f>'Production Guide'!K18</f>
        <v/>
      </c>
      <c r="C21" s="142" t="inlineStr">
        <is>
          <t>C4</t>
        </is>
      </c>
      <c r="D21" s="3" t="inlineStr">
        <is>
          <t>Sassy Scotty</t>
        </is>
      </c>
      <c r="E21" s="70">
        <f>'Production Guide'!Y18</f>
        <v/>
      </c>
      <c r="F21" s="99">
        <f>E24/3</f>
        <v/>
      </c>
      <c r="J21" s="24" t="n"/>
      <c r="K21" s="23" t="n"/>
    </row>
    <row r="22" ht="18" customHeight="1">
      <c r="A22" s="101">
        <f>'Production Guide'!E13</f>
        <v/>
      </c>
      <c r="B22" s="187">
        <f>'Production Guide'!K13</f>
        <v/>
      </c>
      <c r="C22" s="96" t="inlineStr">
        <is>
          <t>C4</t>
        </is>
      </c>
      <c r="D22" s="315" t="inlineStr">
        <is>
          <t>Jalapeño Holly</t>
        </is>
      </c>
      <c r="E22" s="293">
        <f>'Production Guide'!Y13</f>
        <v/>
      </c>
      <c r="F22" s="99">
        <f>E24/3</f>
        <v/>
      </c>
      <c r="H22" s="45" t="n"/>
      <c r="I22" s="25" t="n"/>
      <c r="J22" s="24" t="n"/>
      <c r="K22" s="23" t="n"/>
    </row>
    <row r="23" ht="18" customHeight="1">
      <c r="A23" s="101">
        <f>'Production Guide'!E7</f>
        <v/>
      </c>
      <c r="B23" s="187">
        <f>'Production Guide'!K7</f>
        <v/>
      </c>
      <c r="C23" s="96" t="inlineStr">
        <is>
          <t>C4</t>
        </is>
      </c>
      <c r="D23" s="315" t="inlineStr">
        <is>
          <t>Buffalo Barclay</t>
        </is>
      </c>
      <c r="E23" s="293">
        <f>'Production Guide'!Y7</f>
        <v/>
      </c>
      <c r="F23" s="99">
        <f>E24/3</f>
        <v/>
      </c>
      <c r="H23" s="23" t="n"/>
      <c r="I23" s="25" t="n"/>
      <c r="J23" s="24" t="n"/>
      <c r="K23" s="23" t="n"/>
    </row>
    <row r="24" ht="18" customHeight="1">
      <c r="A24" s="101">
        <f>'Production Guide'!E14</f>
        <v/>
      </c>
      <c r="B24" s="187">
        <f>'Production Guide'!K14</f>
        <v/>
      </c>
      <c r="C24" s="96" t="inlineStr">
        <is>
          <t>C4</t>
        </is>
      </c>
      <c r="D24" s="315" t="inlineStr">
        <is>
          <t>Kickin Kay Lynne</t>
        </is>
      </c>
      <c r="E24" s="35">
        <f>MROUND('Production Guide'!Y14,3)</f>
        <v/>
      </c>
      <c r="H24" s="23" t="n"/>
      <c r="I24" s="25" t="n"/>
      <c r="J24" s="23" t="n"/>
    </row>
    <row r="25" ht="18" customHeight="1">
      <c r="A25" s="102">
        <f>'Production Guide'!E6</f>
        <v/>
      </c>
      <c r="B25" s="179">
        <f>'Production Guide'!K6</f>
        <v/>
      </c>
      <c r="C25" s="96" t="inlineStr">
        <is>
          <t>C4</t>
        </is>
      </c>
      <c r="D25" s="315" t="inlineStr">
        <is>
          <t>Barbie Q</t>
        </is>
      </c>
      <c r="E25" s="35">
        <f>'Production Guide'!Y6</f>
        <v/>
      </c>
      <c r="J25" s="23" t="n"/>
    </row>
    <row r="26" ht="18.75" customHeight="1" thickBot="1">
      <c r="A26" s="181">
        <f>'Production Guide'!E20</f>
        <v/>
      </c>
      <c r="B26" s="231">
        <f>'Production Guide'!K20</f>
        <v/>
      </c>
      <c r="C26" s="97" t="inlineStr">
        <is>
          <t>C4</t>
        </is>
      </c>
      <c r="D26" s="10" t="inlineStr">
        <is>
          <t xml:space="preserve">Egg Salad </t>
        </is>
      </c>
      <c r="E26" s="35">
        <f>'Production Guide'!Y20</f>
        <v/>
      </c>
      <c r="J26" s="23" t="n"/>
    </row>
    <row r="27" ht="17.25" customHeight="1" thickBot="1">
      <c r="C27" s="29" t="n"/>
      <c r="D27" s="230" t="inlineStr">
        <is>
          <t>Total Mixed Flavors</t>
        </is>
      </c>
      <c r="E27" s="72">
        <f>SUM(E10:E25)-E19-E20-E24</f>
        <v/>
      </c>
      <c r="G27" s="86" t="inlineStr">
        <is>
          <t>Salad Item Prep</t>
        </is>
      </c>
      <c r="H27" s="48" t="n"/>
      <c r="J27" s="23" t="n"/>
    </row>
    <row r="28" ht="18.75" customHeight="1" thickBot="1">
      <c r="E28" s="68" t="n"/>
      <c r="G28" s="66" t="inlineStr">
        <is>
          <t>Salad Mix</t>
        </is>
      </c>
      <c r="H28" s="203" t="n"/>
      <c r="I28" s="85" t="n"/>
      <c r="J28" s="23" t="n"/>
    </row>
    <row r="29" ht="15.75" customHeight="1" thickBot="1">
      <c r="C29" s="49" t="inlineStr">
        <is>
          <t>Cook</t>
        </is>
      </c>
      <c r="D29" s="49" t="inlineStr">
        <is>
          <t>Ingredient</t>
        </is>
      </c>
      <c r="E29" s="49" t="inlineStr">
        <is>
          <t>Cups to Prep</t>
        </is>
      </c>
      <c r="G29" s="66" t="inlineStr">
        <is>
          <t>Strawberries</t>
        </is>
      </c>
      <c r="H29" s="84" t="n"/>
    </row>
    <row r="30">
      <c r="C30" s="53" t="inlineStr">
        <is>
          <t>C1</t>
        </is>
      </c>
      <c r="D30" s="31" t="inlineStr">
        <is>
          <t>Apples</t>
        </is>
      </c>
      <c r="E30" s="34">
        <f>(E16+E12)*0.25</f>
        <v/>
      </c>
      <c r="G30" s="14" t="inlineStr">
        <is>
          <t>Unpeeled Apples</t>
        </is>
      </c>
      <c r="H30" s="84" t="n"/>
      <c r="I30" s="67" t="n"/>
    </row>
    <row r="31" ht="15.75" customHeight="1" thickBot="1">
      <c r="C31" s="54" t="inlineStr">
        <is>
          <t>C1</t>
        </is>
      </c>
      <c r="D31" s="15" t="inlineStr">
        <is>
          <t>Eggs</t>
        </is>
      </c>
      <c r="E31" s="35">
        <f>E11*0.25</f>
        <v/>
      </c>
      <c r="G31" s="44" t="inlineStr">
        <is>
          <t>Cucumbers</t>
        </is>
      </c>
      <c r="H31" s="154" t="n"/>
    </row>
    <row r="32">
      <c r="C32" s="54" t="inlineStr">
        <is>
          <t>C1</t>
        </is>
      </c>
      <c r="D32" s="315" t="inlineStr">
        <is>
          <t>Onions</t>
        </is>
      </c>
      <c r="E32" s="35">
        <f>E14*0.25</f>
        <v/>
      </c>
      <c r="G32" s="73" t="n"/>
      <c r="H32" s="73" t="n"/>
    </row>
    <row r="33" ht="15.75" customHeight="1" thickBot="1">
      <c r="C33" s="194" t="inlineStr">
        <is>
          <t>C1</t>
        </is>
      </c>
      <c r="D33" s="315" t="inlineStr">
        <is>
          <t>Bacon</t>
        </is>
      </c>
      <c r="E33" s="89">
        <f>(E21*0.25)+(E17*0.25)</f>
        <v/>
      </c>
    </row>
    <row r="34" ht="15.75" customHeight="1" thickBot="1">
      <c r="C34" s="194" t="inlineStr">
        <is>
          <t>C1</t>
        </is>
      </c>
      <c r="D34" s="195" t="inlineStr">
        <is>
          <t>Pineapple</t>
        </is>
      </c>
      <c r="E34" s="36">
        <f>E12*0.25</f>
        <v/>
      </c>
      <c r="G34" s="428" t="inlineStr">
        <is>
          <t>Classic Carol for Tomorrow</t>
        </is>
      </c>
      <c r="H34" s="422" t="n"/>
    </row>
    <row r="35" ht="15.75" customHeight="1" thickBot="1">
      <c r="C35" s="180" t="n"/>
      <c r="D35" s="192" t="inlineStr">
        <is>
          <t>Side</t>
        </is>
      </c>
      <c r="E35" s="193" t="inlineStr">
        <is>
          <t>1/2 Pans</t>
        </is>
      </c>
      <c r="G35" s="429">
        <f>Future!W24</f>
        <v/>
      </c>
      <c r="H35" s="422" t="n"/>
    </row>
    <row r="36">
      <c r="B36" s="334" t="n"/>
      <c r="C36" s="29" t="n"/>
      <c r="D36" s="37" t="inlineStr">
        <is>
          <t>Broccoli Salad</t>
        </is>
      </c>
      <c r="E36" s="40">
        <f>'Production Guide'!K26</f>
        <v/>
      </c>
      <c r="G36" s="331" t="inlineStr">
        <is>
          <t>C1- seasonal salad ingred, strawberries for fresh fruit &amp; pasta salad</t>
        </is>
      </c>
    </row>
    <row r="37">
      <c r="B37" s="334" t="n"/>
      <c r="C37" s="29" t="n"/>
      <c r="D37" s="38" t="inlineStr">
        <is>
          <t>Fresh Fruit</t>
        </is>
      </c>
      <c r="E37" s="41">
        <f>'Production Guide'!K27</f>
        <v/>
      </c>
    </row>
    <row r="38">
      <c r="B38" s="334" t="n"/>
      <c r="C38" s="29" t="n"/>
      <c r="D38" s="39" t="inlineStr">
        <is>
          <t>Grape Salad</t>
        </is>
      </c>
      <c r="E38" s="42">
        <f>'Production Guide'!K28</f>
        <v/>
      </c>
    </row>
    <row r="39" ht="15.75" customHeight="1" thickBot="1">
      <c r="B39" s="334" t="n"/>
      <c r="C39" s="29" t="n"/>
      <c r="D39" s="63" t="inlineStr">
        <is>
          <t>Pasta Salad</t>
        </is>
      </c>
      <c r="E39" s="62">
        <f>'Production Guide'!K29</f>
        <v/>
      </c>
      <c r="G39" s="331" t="inlineStr">
        <is>
          <t>C2 &amp; C3- sinks, sanitizer bucket, sanitize work stations, bowls &amp; lids</t>
        </is>
      </c>
    </row>
    <row r="40">
      <c r="C40" s="344" t="inlineStr">
        <is>
          <t>Broccoli salad yields (2) 1/2 pans.                                              Pasta Salad yields (3) 1/2 pans.</t>
        </is>
      </c>
    </row>
    <row r="41" ht="15" customHeight="1">
      <c r="G41" s="137" t="inlineStr">
        <is>
          <t>C4- Temperature logs</t>
        </is>
      </c>
    </row>
    <row r="42">
      <c r="A42" s="332" t="inlineStr">
        <is>
          <t>Sandwich line will quick chick the flavors highlighted.</t>
        </is>
      </c>
    </row>
    <row r="43">
      <c r="C43" s="74" t="n"/>
      <c r="D43" s="74" t="n"/>
      <c r="E43" s="74" t="n"/>
    </row>
    <row r="44">
      <c r="C44" s="74" t="n"/>
      <c r="D44" s="74" t="n"/>
      <c r="E44" s="74" t="n"/>
    </row>
    <row r="45" ht="18" customHeight="1">
      <c r="C45" s="23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GaLT2Nzx49ZlliYMJXpo6w==" formatRows="1" sort="1" spinCount="100000" hashValue="yDqaqgfTapK2psq/KSijGhfOCjzWvRgp4dcVS1/CLeSQ60qinxwUrThVlvbUvyoz7nGOHnYsb879fQyOSDOruQ=="/>
  <mergeCells count="12">
    <mergeCell ref="G35:H35"/>
    <mergeCell ref="B39:C39"/>
    <mergeCell ref="G34:H34"/>
    <mergeCell ref="C40:E41"/>
    <mergeCell ref="A42:F42"/>
    <mergeCell ref="B3:D3"/>
    <mergeCell ref="B38:C38"/>
    <mergeCell ref="B37:C37"/>
    <mergeCell ref="B36:C36"/>
    <mergeCell ref="G39:H40"/>
    <mergeCell ref="A6:E8"/>
    <mergeCell ref="G36:H3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M28" sqref="M28"/>
    </sheetView>
  </sheetViews>
  <sheetFormatPr baseColWidth="8" defaultColWidth="8.85546875" defaultRowHeight="15"/>
  <cols>
    <col width="3.42578125" customWidth="1" min="1" max="1"/>
    <col width="3.42578125" bestFit="1" customWidth="1" min="2" max="2"/>
    <col width="5.42578125" bestFit="1" customWidth="1" min="3" max="3"/>
    <col width="20.85546875" bestFit="1" customWidth="1" min="4" max="4"/>
    <col width="12.140625" bestFit="1" customWidth="1" min="5" max="5"/>
    <col width="4" customWidth="1" min="6" max="6"/>
    <col width="20" customWidth="1" min="7" max="7"/>
    <col width="5.42578125" bestFit="1" customWidth="1" min="8" max="8"/>
    <col width="4.42578125" customWidth="1" min="9" max="9"/>
    <col width="11.42578125" bestFit="1" customWidth="1" min="10" max="10"/>
    <col width="9.42578125" customWidth="1" min="11" max="11"/>
    <col width="11" customWidth="1" min="12" max="12"/>
    <col width="12.42578125" bestFit="1" customWidth="1" min="13" max="13"/>
  </cols>
  <sheetData>
    <row r="1">
      <c r="B1" s="363" t="inlineStr">
        <is>
          <t>Date:</t>
        </is>
      </c>
      <c r="C1" s="363" t="n"/>
      <c r="D1" s="75" t="n"/>
    </row>
    <row r="2">
      <c r="B2" s="363" t="n"/>
      <c r="C2" s="363" t="n"/>
    </row>
    <row r="3">
      <c r="B3" s="333" t="inlineStr">
        <is>
          <t>Today's Forecast:</t>
        </is>
      </c>
      <c r="E3" s="426">
        <f>'Production Guide'!E2</f>
        <v/>
      </c>
      <c r="F3" s="426" t="n"/>
    </row>
    <row r="4" ht="15" customHeight="1"/>
    <row r="5" ht="15" customHeight="1" thickBot="1"/>
    <row r="6" ht="15.75" customHeight="1" thickBot="1">
      <c r="A6" s="427" t="inlineStr">
        <is>
          <t>Daily Production List</t>
        </is>
      </c>
      <c r="B6" s="73" t="n"/>
      <c r="C6" s="73" t="n"/>
      <c r="D6" s="73" t="n"/>
      <c r="E6" s="180" t="n"/>
      <c r="G6" s="76" t="inlineStr">
        <is>
          <t>Item</t>
        </is>
      </c>
      <c r="H6" s="81" t="inlineStr">
        <is>
          <t>Prep</t>
        </is>
      </c>
    </row>
    <row r="7" ht="15" customHeight="1">
      <c r="A7" s="67" t="n"/>
      <c r="E7" s="29" t="n"/>
      <c r="G7" s="77" t="inlineStr">
        <is>
          <t>Broccoli Lexis</t>
        </is>
      </c>
      <c r="H7" s="40">
        <f>Future!AE5</f>
        <v/>
      </c>
    </row>
    <row r="8" ht="15.75" customHeight="1" thickBot="1">
      <c r="A8" s="414" t="n"/>
      <c r="B8" s="252" t="n"/>
      <c r="C8" s="252" t="n"/>
      <c r="D8" s="252" t="n"/>
      <c r="E8" s="415" t="n"/>
      <c r="G8" s="78" t="inlineStr">
        <is>
          <t>Wet Grape Lexis</t>
        </is>
      </c>
      <c r="H8" s="42">
        <f>Future!AE6</f>
        <v/>
      </c>
      <c r="J8" s="430" t="n"/>
    </row>
    <row r="9" ht="15.75" customHeight="1" thickBot="1">
      <c r="A9" s="100" t="inlineStr">
        <is>
          <t>SM</t>
        </is>
      </c>
      <c r="B9" s="104" t="inlineStr">
        <is>
          <t>LG</t>
        </is>
      </c>
      <c r="C9" s="103" t="inlineStr">
        <is>
          <t>Cook</t>
        </is>
      </c>
      <c r="D9" s="106" t="inlineStr">
        <is>
          <t>Flavor</t>
        </is>
      </c>
      <c r="E9" s="107" t="inlineStr">
        <is>
          <t>#'s to Prep</t>
        </is>
      </c>
      <c r="G9" s="78" t="inlineStr">
        <is>
          <t>Dry Grape Lexis</t>
        </is>
      </c>
      <c r="H9" s="42">
        <f>Future!AE7</f>
        <v/>
      </c>
      <c r="I9" s="26" t="n"/>
      <c r="J9" s="26" t="n"/>
    </row>
    <row r="10">
      <c r="A10" s="131">
        <f>'Production Guide'!E8</f>
        <v/>
      </c>
      <c r="B10" s="132">
        <f>'Production Guide'!K8</f>
        <v/>
      </c>
      <c r="C10" s="94" t="inlineStr">
        <is>
          <t>C2</t>
        </is>
      </c>
      <c r="D10" s="28" t="inlineStr">
        <is>
          <t>Classic Carol</t>
        </is>
      </c>
      <c r="E10" s="34">
        <f>'Production Guide'!Y8</f>
        <v/>
      </c>
      <c r="G10" s="78" t="inlineStr">
        <is>
          <t>Pasta Salad Batches</t>
        </is>
      </c>
      <c r="H10" s="42">
        <f>Future!AE8</f>
        <v/>
      </c>
      <c r="J10" s="26" t="n"/>
    </row>
    <row r="11" ht="15.75" customHeight="1" thickBot="1">
      <c r="A11" s="133">
        <f>'Production Guide'!E9</f>
        <v/>
      </c>
      <c r="B11" s="134">
        <f>'Production Guide'!K9</f>
        <v/>
      </c>
      <c r="C11" s="95" t="inlineStr">
        <is>
          <t>C2</t>
        </is>
      </c>
      <c r="D11" t="inlineStr">
        <is>
          <t>Cranberry Kelli</t>
        </is>
      </c>
      <c r="E11" s="35">
        <f>'Production Guide'!Y9</f>
        <v/>
      </c>
      <c r="G11" s="79" t="inlineStr">
        <is>
          <t>Grape Salad Dressing</t>
        </is>
      </c>
      <c r="H11" s="62">
        <f>Future!AF9</f>
        <v/>
      </c>
      <c r="J11" s="26" t="n"/>
    </row>
    <row r="12" ht="15.75" customHeight="1" thickBot="1">
      <c r="A12" s="101">
        <f>'Production Guide'!E17</f>
        <v/>
      </c>
      <c r="B12" s="187">
        <f>'Production Guide'!K17</f>
        <v/>
      </c>
      <c r="C12" s="95" t="inlineStr">
        <is>
          <t>C2</t>
        </is>
      </c>
      <c r="D12" s="315" t="inlineStr">
        <is>
          <t>Olivia's Old South</t>
        </is>
      </c>
      <c r="E12" s="35">
        <f>'Production Guide'!Y17</f>
        <v/>
      </c>
      <c r="G12" s="73" t="n"/>
      <c r="H12" s="68" t="n"/>
      <c r="J12" s="26" t="n"/>
    </row>
    <row r="13" ht="16.5" customHeight="1" thickBot="1">
      <c r="A13" s="101">
        <f>'Production Guide'!E20</f>
        <v/>
      </c>
      <c r="B13" s="187">
        <f>'Production Guide'!K20</f>
        <v/>
      </c>
      <c r="C13" s="109" t="inlineStr">
        <is>
          <t>C2</t>
        </is>
      </c>
      <c r="D13" s="143" t="inlineStr">
        <is>
          <t xml:space="preserve">Egg Salad </t>
        </is>
      </c>
      <c r="E13" s="89">
        <f>'Production Guide'!Y20</f>
        <v/>
      </c>
      <c r="G13" s="47" t="inlineStr">
        <is>
          <t>Salads</t>
        </is>
      </c>
      <c r="H13" s="65" t="inlineStr">
        <is>
          <t>Par</t>
        </is>
      </c>
      <c r="J13" s="24" t="n"/>
    </row>
    <row r="14" ht="18.75" customHeight="1" thickTop="1">
      <c r="A14" s="149">
        <f>'Production Guide'!E10</f>
        <v/>
      </c>
      <c r="B14" s="148">
        <f>'Production Guide'!K10</f>
        <v/>
      </c>
      <c r="C14" s="142" t="inlineStr">
        <is>
          <t>C3</t>
        </is>
      </c>
      <c r="D14" s="3" t="inlineStr">
        <is>
          <t>Dixie Chick</t>
        </is>
      </c>
      <c r="E14" s="151">
        <f>'Production Guide'!Y10</f>
        <v/>
      </c>
      <c r="G14" s="43" t="inlineStr">
        <is>
          <t>Classic Salads</t>
        </is>
      </c>
      <c r="H14" s="51">
        <f>'All Data'!G85</f>
        <v/>
      </c>
      <c r="J14" s="24" t="n"/>
    </row>
    <row r="15" ht="18.75" customHeight="1" thickBot="1">
      <c r="A15" s="101">
        <f>'Production Guide'!E12</f>
        <v/>
      </c>
      <c r="B15" s="90">
        <f>'Production Guide'!K12</f>
        <v/>
      </c>
      <c r="C15" s="95" t="inlineStr">
        <is>
          <t>C3</t>
        </is>
      </c>
      <c r="D15" s="3" t="inlineStr">
        <is>
          <t>Fruity Fran</t>
        </is>
      </c>
      <c r="E15" s="35">
        <f>'Production Guide'!Y12</f>
        <v/>
      </c>
      <c r="G15" s="44" t="inlineStr">
        <is>
          <t>Seasonal Salads</t>
        </is>
      </c>
      <c r="H15" s="83">
        <f>'All Data'!G86</f>
        <v/>
      </c>
      <c r="I15" s="64" t="n"/>
      <c r="J15" s="24" t="n"/>
    </row>
    <row r="16" ht="18" customHeight="1">
      <c r="A16" s="101">
        <f>'Production Guide'!E19</f>
        <v/>
      </c>
      <c r="B16" s="187">
        <f>'Production Guide'!K19</f>
        <v/>
      </c>
      <c r="C16" s="96" t="inlineStr">
        <is>
          <t>C3</t>
        </is>
      </c>
      <c r="D16" s="315" t="inlineStr">
        <is>
          <t>LTO</t>
        </is>
      </c>
      <c r="E16" s="35">
        <f>'Production Guide'!Y19</f>
        <v/>
      </c>
      <c r="H16" s="152" t="n"/>
      <c r="I16" s="64" t="n"/>
      <c r="J16" s="24" t="n"/>
      <c r="K16" s="23" t="n"/>
    </row>
    <row r="17" ht="18" customHeight="1">
      <c r="A17" s="133">
        <f>'Production Guide'!E21</f>
        <v/>
      </c>
      <c r="B17" s="134">
        <f>'Production Guide'!K21</f>
        <v/>
      </c>
      <c r="C17" s="96" t="inlineStr">
        <is>
          <t>C3</t>
        </is>
      </c>
      <c r="D17" s="315" t="inlineStr">
        <is>
          <t>Pimento Cheese</t>
        </is>
      </c>
      <c r="E17" s="35">
        <f>'Production Guide'!Y21</f>
        <v/>
      </c>
      <c r="H17" s="152" t="n"/>
      <c r="I17" s="64" t="n"/>
      <c r="J17" s="24" t="n"/>
      <c r="K17" s="23" t="n"/>
    </row>
    <row r="18" ht="18.75" customHeight="1" thickBot="1">
      <c r="A18" s="138">
        <f>'Production Guide'!E22</f>
        <v/>
      </c>
      <c r="B18" s="139">
        <f>'Production Guide'!K22</f>
        <v/>
      </c>
      <c r="C18" s="110" t="inlineStr">
        <is>
          <t>C3</t>
        </is>
      </c>
      <c r="D18" s="88" t="inlineStr">
        <is>
          <t>Spicy Pimento Cheese</t>
        </is>
      </c>
      <c r="E18" s="144">
        <f>'Production Guide'!Y22</f>
        <v/>
      </c>
      <c r="J18" s="24" t="n"/>
      <c r="K18" s="23" t="n"/>
    </row>
    <row r="19" ht="18.75" customHeight="1" thickTop="1">
      <c r="A19" s="188">
        <f>'Production Guide'!E16</f>
        <v/>
      </c>
      <c r="B19" s="148">
        <f>'Production Guide'!K16</f>
        <v/>
      </c>
      <c r="C19" s="96" t="inlineStr">
        <is>
          <t>C4</t>
        </is>
      </c>
      <c r="D19" s="189" t="inlineStr">
        <is>
          <t>Local Flavor</t>
        </is>
      </c>
      <c r="E19" s="89">
        <f>'Production Guide'!Y16</f>
        <v/>
      </c>
      <c r="J19" s="24" t="n"/>
      <c r="K19" s="23" t="n"/>
    </row>
    <row r="20" ht="18" customHeight="1">
      <c r="A20" s="101">
        <f>'Production Guide'!E15</f>
        <v/>
      </c>
      <c r="B20" s="90">
        <f>'Production Guide'!K15</f>
        <v/>
      </c>
      <c r="C20" s="96" t="inlineStr">
        <is>
          <t>C4</t>
        </is>
      </c>
      <c r="D20" s="315" t="inlineStr">
        <is>
          <t>Lauryn's Lemon Basil</t>
        </is>
      </c>
      <c r="E20" s="35">
        <f>'Production Guide'!Y15</f>
        <v/>
      </c>
      <c r="J20" s="24" t="n"/>
      <c r="K20" s="23" t="n"/>
    </row>
    <row r="21" ht="18" customHeight="1">
      <c r="A21" s="159">
        <f>'Production Guide'!E6</f>
        <v/>
      </c>
      <c r="B21" s="90">
        <f>'Production Guide'!K6</f>
        <v/>
      </c>
      <c r="C21" s="109" t="inlineStr">
        <is>
          <t>C4</t>
        </is>
      </c>
      <c r="D21" s="130" t="inlineStr">
        <is>
          <t>Barbie Q</t>
        </is>
      </c>
      <c r="E21" s="69">
        <f>'Production Guide'!Y6</f>
        <v/>
      </c>
      <c r="F21" s="66" t="n"/>
      <c r="J21" s="24" t="n"/>
      <c r="K21" s="23" t="n"/>
    </row>
    <row r="22" ht="18.75" customHeight="1" thickBot="1">
      <c r="A22" s="147">
        <f>'Production Guide'!E11</f>
        <v/>
      </c>
      <c r="B22" s="146">
        <f>'Production Guide'!K11</f>
        <v/>
      </c>
      <c r="C22" s="110" t="inlineStr">
        <is>
          <t>C4</t>
        </is>
      </c>
      <c r="D22" s="143" t="inlineStr">
        <is>
          <t>Fancy Nancy</t>
        </is>
      </c>
      <c r="E22" s="144">
        <f>'Production Guide'!Y11</f>
        <v/>
      </c>
      <c r="F22" s="160" t="inlineStr">
        <is>
          <t>KKL</t>
        </is>
      </c>
      <c r="G22" s="32" t="n"/>
      <c r="J22" s="24" t="n"/>
    </row>
    <row r="23" ht="18.75" customHeight="1" thickTop="1">
      <c r="A23" s="136">
        <f>'Production Guide'!E18</f>
        <v/>
      </c>
      <c r="B23" s="135">
        <f>'Production Guide'!K18</f>
        <v/>
      </c>
      <c r="C23" s="142" t="inlineStr">
        <is>
          <t>C5</t>
        </is>
      </c>
      <c r="D23" s="3" t="inlineStr">
        <is>
          <t>Sassy Scotty</t>
        </is>
      </c>
      <c r="E23" s="70">
        <f>'Production Guide'!Y18</f>
        <v/>
      </c>
      <c r="F23" s="99">
        <f>E26/3</f>
        <v/>
      </c>
      <c r="H23" s="45" t="n"/>
      <c r="I23" s="25" t="n"/>
      <c r="J23" s="23" t="n"/>
    </row>
    <row r="24" ht="18" customHeight="1">
      <c r="A24" s="101">
        <f>'Production Guide'!E13</f>
        <v/>
      </c>
      <c r="B24" s="187">
        <f>'Production Guide'!K13</f>
        <v/>
      </c>
      <c r="C24" s="96" t="inlineStr">
        <is>
          <t>C5</t>
        </is>
      </c>
      <c r="D24" s="315" t="inlineStr">
        <is>
          <t>Jalapeño Holly</t>
        </is>
      </c>
      <c r="E24" s="293">
        <f>'Production Guide'!Y13</f>
        <v/>
      </c>
      <c r="F24" s="99">
        <f>E26/3</f>
        <v/>
      </c>
      <c r="H24" s="23" t="n"/>
      <c r="I24" s="25" t="n"/>
      <c r="J24" s="23" t="n"/>
    </row>
    <row r="25" ht="18" customHeight="1">
      <c r="A25" s="101">
        <f>'Production Guide'!E7</f>
        <v/>
      </c>
      <c r="B25" s="187">
        <f>'Production Guide'!K7</f>
        <v/>
      </c>
      <c r="C25" s="96" t="inlineStr">
        <is>
          <t>C5</t>
        </is>
      </c>
      <c r="D25" s="315" t="inlineStr">
        <is>
          <t>Buffalo Barclay</t>
        </is>
      </c>
      <c r="E25" s="293">
        <f>'Production Guide'!Y7</f>
        <v/>
      </c>
      <c r="F25" s="99">
        <f>E26/3</f>
        <v/>
      </c>
      <c r="J25" s="23" t="n"/>
    </row>
    <row r="26" ht="18.75" customHeight="1" thickBot="1">
      <c r="A26" s="102">
        <f>'Production Guide'!E14</f>
        <v/>
      </c>
      <c r="B26" s="241">
        <f>'Production Guide'!K14</f>
        <v/>
      </c>
      <c r="C26" s="97" t="inlineStr">
        <is>
          <t>C5</t>
        </is>
      </c>
      <c r="D26" s="315" t="inlineStr">
        <is>
          <t>Kickin Kay Lynne</t>
        </is>
      </c>
      <c r="E26" s="35">
        <f>MROUND('Production Guide'!Y14,3)</f>
        <v/>
      </c>
      <c r="J26" s="23" t="n"/>
    </row>
    <row r="27" ht="15.75" customHeight="1" thickBot="1">
      <c r="A27" s="73" t="n"/>
      <c r="C27" s="180" t="n"/>
      <c r="D27" s="46" t="inlineStr">
        <is>
          <t>Total Mixed Flavors</t>
        </is>
      </c>
      <c r="E27" s="72">
        <f>SUM(E10:E26)-E13-E17-E18-E26</f>
        <v/>
      </c>
      <c r="G27" s="86" t="inlineStr">
        <is>
          <t>Salad Item Prep</t>
        </is>
      </c>
      <c r="H27" s="48" t="n"/>
    </row>
    <row r="28" ht="15.75" customHeight="1" thickBot="1">
      <c r="E28" s="68" t="n"/>
      <c r="G28" s="66" t="inlineStr">
        <is>
          <t>Salad Mix</t>
        </is>
      </c>
      <c r="H28" s="203" t="n"/>
      <c r="I28" s="85" t="n"/>
    </row>
    <row r="29" ht="15.75" customHeight="1" thickBot="1">
      <c r="C29" s="49" t="inlineStr">
        <is>
          <t>Cook</t>
        </is>
      </c>
      <c r="D29" s="49" t="inlineStr">
        <is>
          <t>Ingredient</t>
        </is>
      </c>
      <c r="E29" s="49" t="inlineStr">
        <is>
          <t>Cups to Prep</t>
        </is>
      </c>
      <c r="G29" s="66" t="inlineStr">
        <is>
          <t>Strawberries</t>
        </is>
      </c>
      <c r="H29" s="84" t="n"/>
    </row>
    <row r="30">
      <c r="C30" s="53" t="inlineStr">
        <is>
          <t>C1</t>
        </is>
      </c>
      <c r="D30" s="31" t="inlineStr">
        <is>
          <t>Apples</t>
        </is>
      </c>
      <c r="E30" s="34">
        <f>(E15+E22)*0.25</f>
        <v/>
      </c>
      <c r="G30" s="14" t="inlineStr">
        <is>
          <t>Unpeeled Apples</t>
        </is>
      </c>
      <c r="H30" s="84" t="n"/>
      <c r="I30" s="67" t="n"/>
    </row>
    <row r="31" ht="15.75" customHeight="1" thickBot="1">
      <c r="C31" s="54" t="inlineStr">
        <is>
          <t>C1</t>
        </is>
      </c>
      <c r="D31" s="15" t="inlineStr">
        <is>
          <t>Eggs</t>
        </is>
      </c>
      <c r="E31" s="35">
        <f>E12*0.25</f>
        <v/>
      </c>
      <c r="G31" s="44" t="inlineStr">
        <is>
          <t>Cucumbers</t>
        </is>
      </c>
      <c r="H31" s="154" t="n"/>
    </row>
    <row r="32">
      <c r="C32" s="54" t="inlineStr">
        <is>
          <t>C1</t>
        </is>
      </c>
      <c r="D32" s="15" t="inlineStr">
        <is>
          <t>Onions</t>
        </is>
      </c>
      <c r="E32" s="35">
        <f>E14*0.25</f>
        <v/>
      </c>
      <c r="G32" s="73" t="n"/>
      <c r="H32" s="73" t="n"/>
    </row>
    <row r="33" ht="15.75" customHeight="1" thickBot="1">
      <c r="C33" s="54" t="inlineStr">
        <is>
          <t>C1</t>
        </is>
      </c>
      <c r="D33" s="196" t="inlineStr">
        <is>
          <t>Bacon</t>
        </is>
      </c>
      <c r="E33" s="89">
        <f>(E23*0.25)+(E19*0.25)</f>
        <v/>
      </c>
    </row>
    <row r="34" ht="15.75" customHeight="1" thickBot="1">
      <c r="C34" s="194" t="inlineStr">
        <is>
          <t>C1</t>
        </is>
      </c>
      <c r="D34" s="10" t="inlineStr">
        <is>
          <t>Pineapples</t>
        </is>
      </c>
      <c r="E34" s="36">
        <f>E15*0.25</f>
        <v/>
      </c>
      <c r="G34" s="431" t="inlineStr">
        <is>
          <t>Classic Carol for Tomorrow</t>
        </is>
      </c>
      <c r="H34" s="432" t="n"/>
    </row>
    <row r="35" ht="15.75" customHeight="1" thickBot="1">
      <c r="C35" s="180" t="n"/>
      <c r="D35" s="50" t="inlineStr">
        <is>
          <t>Side</t>
        </is>
      </c>
      <c r="E35" s="81" t="inlineStr">
        <is>
          <t>1/2 Pans</t>
        </is>
      </c>
      <c r="G35" s="433">
        <f>Future!W24</f>
        <v/>
      </c>
      <c r="H35" s="415" t="n"/>
    </row>
    <row r="36">
      <c r="B36" s="334" t="n"/>
      <c r="C36" s="29" t="n"/>
      <c r="D36" s="37" t="inlineStr">
        <is>
          <t>Broccoli Salad</t>
        </is>
      </c>
      <c r="E36" s="40">
        <f>'Production Guide'!K26</f>
        <v/>
      </c>
      <c r="G36" s="331" t="inlineStr">
        <is>
          <t>C1- seasonal salad ingred, strawberries for fresh fruit &amp; pasta salad</t>
        </is>
      </c>
    </row>
    <row r="37">
      <c r="B37" s="334" t="n"/>
      <c r="C37" s="29" t="n"/>
      <c r="D37" s="38" t="inlineStr">
        <is>
          <t>Fresh Fruit</t>
        </is>
      </c>
      <c r="E37" s="41">
        <f>'Production Guide'!K27</f>
        <v/>
      </c>
    </row>
    <row r="38" ht="15" customHeight="1">
      <c r="B38" s="334" t="n"/>
      <c r="C38" s="29" t="n"/>
      <c r="D38" s="39" t="inlineStr">
        <is>
          <t>Grape Salad</t>
        </is>
      </c>
      <c r="E38" s="42">
        <f>'Production Guide'!K28</f>
        <v/>
      </c>
    </row>
    <row r="39" ht="15.75" customHeight="1" thickBot="1">
      <c r="B39" s="334" t="n"/>
      <c r="C39" s="29" t="n"/>
      <c r="D39" s="63" t="inlineStr">
        <is>
          <t>Pasta Salad</t>
        </is>
      </c>
      <c r="E39" s="62">
        <f>'Production Guide'!K29</f>
        <v/>
      </c>
      <c r="G39" s="331" t="inlineStr">
        <is>
          <t>C2 &amp; C3- sinks, sanitizer bucket, sanitize work stations, bowls &amp; lids</t>
        </is>
      </c>
    </row>
    <row r="40">
      <c r="C40" s="26" t="n"/>
    </row>
    <row r="41">
      <c r="C41" s="344" t="inlineStr">
        <is>
          <t>Broccoli salad yields (2) 1/2 pans.                                              Pasta Salad yields (3) 1/2 pans.</t>
        </is>
      </c>
      <c r="G41" s="137" t="inlineStr">
        <is>
          <t>C4- Temperature logs</t>
        </is>
      </c>
    </row>
    <row r="42"/>
    <row r="43">
      <c r="A43" s="332" t="inlineStr">
        <is>
          <t>Sandwich line will quick chick the flavors highlighted.</t>
        </is>
      </c>
    </row>
    <row r="44">
      <c r="C44" s="74" t="n"/>
      <c r="D44" s="74" t="n"/>
      <c r="E44" s="74" t="n"/>
    </row>
    <row r="45">
      <c r="C45" s="74" t="n"/>
      <c r="D45" s="74" t="n"/>
      <c r="E45" s="74" t="n"/>
    </row>
    <row r="46" ht="18" customHeight="1">
      <c r="C46" s="23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6CvUBOiyPOnu5LxGm2L8Q==" formatRows="1" sort="1" spinCount="100000" hashValue="Inrql1qQxGWVJkR52TGI4CVbHNX4mSl4fYja+oVBDmxsxZ+Sph3xBd/x7NgppVfsC3TvCMpBCsvD7dxAYN1MdA=="/>
  <mergeCells count="12">
    <mergeCell ref="G35:H35"/>
    <mergeCell ref="B39:C39"/>
    <mergeCell ref="G34:H34"/>
    <mergeCell ref="B3:D3"/>
    <mergeCell ref="B38:C38"/>
    <mergeCell ref="B37:C37"/>
    <mergeCell ref="G39:H40"/>
    <mergeCell ref="B36:C36"/>
    <mergeCell ref="A6:E8"/>
    <mergeCell ref="G36:H38"/>
    <mergeCell ref="C41:E42"/>
    <mergeCell ref="A43:F43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F100"/>
  <sheetViews>
    <sheetView zoomScale="112" zoomScaleNormal="112" zoomScalePageLayoutView="70" workbookViewId="0">
      <selection activeCell="C5" sqref="C5"/>
    </sheetView>
  </sheetViews>
  <sheetFormatPr baseColWidth="8" defaultColWidth="8.85546875" defaultRowHeight="15"/>
  <cols>
    <col width="10.140625" bestFit="1" customWidth="1" min="1" max="1"/>
    <col width="15.42578125" customWidth="1" min="2" max="2"/>
    <col width="8.85546875" customWidth="1" min="5" max="5"/>
    <col width="11.85546875" bestFit="1" customWidth="1" min="6" max="6"/>
    <col width="8.42578125" customWidth="1" min="7" max="7"/>
    <col width="9.85546875" customWidth="1" min="8" max="8"/>
    <col width="8.42578125" customWidth="1" min="9" max="9"/>
    <col width="9.42578125" customWidth="1" min="10" max="11"/>
    <col width="8.42578125" customWidth="1" min="12" max="15"/>
    <col width="15.42578125" customWidth="1" min="16" max="16"/>
    <col width="8.42578125" customWidth="1" min="17" max="17"/>
    <col width="8.42578125" customWidth="1" min="19" max="19"/>
    <col width="10.42578125" customWidth="1" min="20" max="20"/>
    <col width="8.42578125" customWidth="1" min="21" max="25"/>
    <col width="18.42578125" customWidth="1" min="28" max="28"/>
    <col width="12" customWidth="1" min="29" max="29"/>
    <col width="14.140625" bestFit="1" customWidth="1" min="30" max="30"/>
    <col width="18.42578125" bestFit="1" customWidth="1" min="31" max="32"/>
  </cols>
  <sheetData>
    <row r="1" ht="15.75" customHeight="1" thickBot="1"/>
    <row r="2" ht="12.6" customHeight="1">
      <c r="C2" s="369" t="inlineStr">
        <is>
          <t>Sales</t>
        </is>
      </c>
      <c r="D2" s="31" t="n"/>
      <c r="E2" s="349" t="n"/>
      <c r="F2" s="267" t="inlineStr">
        <is>
          <t>Updated by:</t>
        </is>
      </c>
      <c r="G2" s="389" t="inlineStr">
        <is>
          <t>Amanda Galbraith</t>
        </is>
      </c>
      <c r="H2" s="434" t="n"/>
      <c r="I2" s="266" t="n"/>
      <c r="J2" s="435" t="n"/>
    </row>
    <row r="3">
      <c r="A3" s="197" t="n"/>
      <c r="B3" s="197" t="n"/>
      <c r="C3" s="371" t="n">
        <v>142579.54</v>
      </c>
      <c r="D3" s="436" t="n"/>
      <c r="E3" s="227" t="n"/>
      <c r="F3" s="268" t="inlineStr">
        <is>
          <t>Date:</t>
        </is>
      </c>
      <c r="G3" s="391" t="inlineStr">
        <is>
          <t>4.29.25</t>
        </is>
      </c>
      <c r="H3" s="425" t="n"/>
      <c r="I3" s="266" t="n"/>
    </row>
    <row r="4" ht="14.45" customHeight="1" thickBot="1">
      <c r="A4" s="197" t="n"/>
      <c r="B4" s="197" t="n"/>
      <c r="C4" s="437" t="n"/>
      <c r="D4" s="423" t="n"/>
      <c r="E4" s="227" t="n"/>
      <c r="F4" s="269" t="inlineStr">
        <is>
          <t>Data Range:</t>
        </is>
      </c>
      <c r="G4" s="393" t="inlineStr">
        <is>
          <t>3.23.25-4.26.25</t>
        </is>
      </c>
      <c r="H4" s="438" t="n"/>
      <c r="I4" s="266" t="n"/>
    </row>
    <row r="7" ht="15.75" customHeight="1" thickBot="1">
      <c r="P7" s="17" t="inlineStr">
        <is>
          <t>Directions:</t>
        </is>
      </c>
    </row>
    <row r="8" ht="14.45" customHeight="1">
      <c r="A8" s="439" t="inlineStr">
        <is>
          <t>Quick Chicks of Chicken Salad</t>
        </is>
      </c>
      <c r="B8" s="73" t="n"/>
      <c r="C8" s="180" t="n"/>
      <c r="D8" s="8" t="n"/>
      <c r="E8" s="8" t="n"/>
      <c r="F8" s="8" t="n"/>
      <c r="G8" s="8" t="n"/>
      <c r="H8" s="8" t="n"/>
      <c r="I8" s="8" t="n"/>
      <c r="J8" s="8" t="n"/>
      <c r="P8" t="inlineStr">
        <is>
          <t>Fill in the peach colored fields.</t>
        </is>
      </c>
      <c r="Q8" s="202" t="n"/>
      <c r="R8" s="202" t="n"/>
      <c r="S8" s="202" t="n"/>
    </row>
    <row r="9" ht="15" customHeight="1" thickBot="1">
      <c r="A9" s="414" t="n"/>
      <c r="B9" s="252" t="n"/>
      <c r="C9" s="415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t="inlineStr">
        <is>
          <t>*Make sure you enter the item sales numbers for the same total sales number that you enter in the top box.</t>
        </is>
      </c>
      <c r="Q9" s="202" t="n"/>
      <c r="R9" s="202" t="n"/>
      <c r="S9" s="202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</row>
    <row r="10" ht="15" customHeight="1" thickBot="1">
      <c r="A10" s="383" t="inlineStr">
        <is>
          <t>Small Bowls</t>
        </is>
      </c>
      <c r="B10" s="177" t="n"/>
      <c r="C10" s="217" t="n"/>
      <c r="D10" s="67" t="n"/>
      <c r="E10" s="29" t="n"/>
      <c r="F10" s="214" t="inlineStr">
        <is>
          <t>Flavor</t>
        </is>
      </c>
      <c r="G10" s="214" t="inlineStr">
        <is>
          <t>#'s Sold</t>
        </is>
      </c>
      <c r="H10" s="214" t="inlineStr">
        <is>
          <t>Total #'s</t>
        </is>
      </c>
      <c r="I10" s="214" t="inlineStr">
        <is>
          <t>Usage/100</t>
        </is>
      </c>
      <c r="J10" s="214" t="inlineStr">
        <is>
          <t>Prep Amt</t>
        </is>
      </c>
      <c r="K10" s="8" t="n"/>
      <c r="L10" s="8" t="n"/>
      <c r="M10" s="8" t="n"/>
      <c r="N10" s="8" t="n"/>
      <c r="O10" s="8" t="n"/>
      <c r="P10" t="inlineStr">
        <is>
          <t>**Example- Don't enter item sales for one day, but put the total sales of the week.</t>
        </is>
      </c>
      <c r="Q10" s="202" t="n"/>
      <c r="R10" s="202" t="n"/>
      <c r="S10" s="202" t="n"/>
      <c r="T10" s="8" t="n"/>
      <c r="U10" s="8" t="n"/>
      <c r="V10" s="8" t="n"/>
      <c r="W10" s="8" t="n"/>
    </row>
    <row r="11" ht="15" customHeight="1">
      <c r="A11" s="360" t="inlineStr">
        <is>
          <t>Barbie Q</t>
        </is>
      </c>
      <c r="B11" s="15" t="n"/>
      <c r="C11" s="261" t="n">
        <v>31</v>
      </c>
      <c r="D11" s="67" t="n"/>
      <c r="E11" s="29" t="n"/>
      <c r="F11" s="382" t="inlineStr">
        <is>
          <t>BBQ</t>
        </is>
      </c>
      <c r="G11" s="3">
        <f>C11</f>
        <v/>
      </c>
      <c r="H11" s="56">
        <f>G11/2</f>
        <v/>
      </c>
      <c r="I11" s="440">
        <f>G11/($C$3/100)</f>
        <v/>
      </c>
      <c r="J11" s="11">
        <f>'Production Guide'!C6-'Production Guide'!D6</f>
        <v/>
      </c>
      <c r="K11" s="8" t="n"/>
      <c r="L11" s="8" t="n"/>
      <c r="M11" s="8" t="n"/>
      <c r="N11" s="8" t="n"/>
      <c r="O11" s="8" t="n"/>
      <c r="P11" t="inlineStr">
        <is>
          <t>***See CSCU if you need more direction!</t>
        </is>
      </c>
      <c r="Q11" s="202" t="n"/>
      <c r="R11" s="202" t="n"/>
      <c r="S11" s="202" t="n"/>
      <c r="T11" s="8" t="n"/>
      <c r="U11" s="8" t="n"/>
      <c r="V11" s="8" t="n"/>
      <c r="W11" s="8" t="n"/>
    </row>
    <row r="12" ht="15" customHeight="1">
      <c r="A12" s="366" t="inlineStr">
        <is>
          <t>Buffalo Barclay</t>
        </is>
      </c>
      <c r="B12" s="177" t="n"/>
      <c r="C12" s="208" t="n">
        <v>52</v>
      </c>
      <c r="D12" s="67" t="n"/>
      <c r="E12" s="29" t="n"/>
      <c r="F12" s="177" t="inlineStr">
        <is>
          <t>BB</t>
        </is>
      </c>
      <c r="G12" s="3">
        <f>C12</f>
        <v/>
      </c>
      <c r="H12" s="56">
        <f>G12/2</f>
        <v/>
      </c>
      <c r="I12" s="440">
        <f>G12/($C$3/100)</f>
        <v/>
      </c>
      <c r="J12" s="11">
        <f>'Production Guide'!C7-'Production Guide'!D7</f>
        <v/>
      </c>
      <c r="K12" s="8" t="n"/>
      <c r="L12" s="8" t="n"/>
      <c r="M12" s="8" t="n"/>
      <c r="N12" s="8" t="n"/>
      <c r="O12" s="8" t="n"/>
      <c r="P12" s="202" t="n"/>
      <c r="Q12" s="202" t="n"/>
      <c r="R12" s="202" t="n"/>
      <c r="S12" s="202" t="n"/>
      <c r="T12" s="8" t="n"/>
      <c r="U12" s="8" t="n"/>
      <c r="V12" s="8" t="n"/>
      <c r="W12" s="8" t="n"/>
    </row>
    <row r="13" ht="15" customHeight="1">
      <c r="A13" s="360" t="inlineStr">
        <is>
          <t>Classic Carol</t>
        </is>
      </c>
      <c r="B13" s="15" t="n"/>
      <c r="C13" s="209" t="n">
        <v>195</v>
      </c>
      <c r="D13" s="67" t="n"/>
      <c r="E13" s="29" t="n"/>
      <c r="F13" s="15" t="inlineStr">
        <is>
          <t>CC</t>
        </is>
      </c>
      <c r="G13" s="3">
        <f>C13</f>
        <v/>
      </c>
      <c r="H13" s="56">
        <f>G13/2</f>
        <v/>
      </c>
      <c r="I13" s="440">
        <f>G13/($C$3/100)</f>
        <v/>
      </c>
      <c r="J13" s="11">
        <f>'Production Guide'!C8-'Production Guide'!D8</f>
        <v/>
      </c>
      <c r="K13" s="8" t="n"/>
      <c r="L13" s="8" t="n"/>
      <c r="M13" s="8" t="n"/>
      <c r="N13" s="8" t="n"/>
      <c r="O13" s="8" t="n"/>
      <c r="P13" s="202" t="n"/>
      <c r="Q13" s="202" t="n"/>
      <c r="R13" s="202" t="n"/>
      <c r="S13" s="202" t="n"/>
      <c r="T13" s="8" t="n"/>
      <c r="U13" s="8" t="n"/>
      <c r="V13" s="8" t="n"/>
      <c r="W13" s="8" t="n"/>
    </row>
    <row r="14" ht="15" customHeight="1">
      <c r="A14" s="360" t="inlineStr">
        <is>
          <t>Cranberry Kelli</t>
        </is>
      </c>
      <c r="B14" s="15" t="n"/>
      <c r="C14" s="209" t="n">
        <v>106</v>
      </c>
      <c r="D14" s="67" t="n"/>
      <c r="E14" s="29" t="n"/>
      <c r="F14" s="15" t="inlineStr">
        <is>
          <t>CK</t>
        </is>
      </c>
      <c r="G14" s="3">
        <f>C14</f>
        <v/>
      </c>
      <c r="H14" s="56">
        <f>G14/2</f>
        <v/>
      </c>
      <c r="I14" s="440">
        <f>G14/($C$3/100)</f>
        <v/>
      </c>
      <c r="J14" s="11">
        <f>'Production Guide'!C9-'Production Guide'!D9</f>
        <v/>
      </c>
      <c r="K14" s="8" t="n"/>
      <c r="L14" s="8" t="n"/>
      <c r="M14" s="8" t="n"/>
      <c r="N14" s="8" t="n"/>
      <c r="O14" s="8" t="n"/>
      <c r="P14" s="202" t="n"/>
      <c r="Q14" s="202" t="n"/>
      <c r="R14" s="202" t="n"/>
      <c r="S14" s="202" t="n"/>
      <c r="T14" s="8" t="n"/>
      <c r="U14" s="8" t="n"/>
      <c r="V14" s="8" t="n"/>
      <c r="W14" s="8" t="n"/>
    </row>
    <row r="15" ht="15" customHeight="1">
      <c r="A15" s="360" t="inlineStr">
        <is>
          <t>Dixie Chick</t>
        </is>
      </c>
      <c r="B15" s="15" t="n"/>
      <c r="C15" s="209" t="n">
        <v>41</v>
      </c>
      <c r="D15" s="67" t="n"/>
      <c r="E15" s="29" t="n"/>
      <c r="F15" s="15" t="inlineStr">
        <is>
          <t>DC</t>
        </is>
      </c>
      <c r="G15" s="3">
        <f>C15</f>
        <v/>
      </c>
      <c r="H15" s="56">
        <f>G15/2</f>
        <v/>
      </c>
      <c r="I15" s="440">
        <f>G15/($C$3/100)</f>
        <v/>
      </c>
      <c r="J15" s="11">
        <f>'Production Guide'!C10-'Production Guide'!D10</f>
        <v/>
      </c>
      <c r="K15" s="8" t="n"/>
      <c r="L15" s="8" t="n"/>
      <c r="M15" s="8" t="n"/>
      <c r="N15" s="8" t="n"/>
      <c r="O15" s="8" t="n"/>
      <c r="P15" s="202" t="n"/>
      <c r="Q15" s="202" t="n"/>
      <c r="R15" s="202" t="n"/>
      <c r="S15" s="202" t="n"/>
      <c r="T15" s="8" t="n"/>
      <c r="U15" s="8" t="n"/>
      <c r="V15" s="8" t="n"/>
      <c r="W15" s="8" t="n"/>
    </row>
    <row r="16" ht="15" customHeight="1">
      <c r="A16" s="360" t="inlineStr">
        <is>
          <t>Fancy Nancy</t>
        </is>
      </c>
      <c r="B16" s="15" t="n"/>
      <c r="C16" s="209" t="n">
        <v>189</v>
      </c>
      <c r="D16" s="67" t="n"/>
      <c r="E16" s="29" t="n"/>
      <c r="F16" s="15" t="inlineStr">
        <is>
          <t>FN</t>
        </is>
      </c>
      <c r="G16" s="3">
        <f>C16</f>
        <v/>
      </c>
      <c r="H16" s="56">
        <f>G16/2</f>
        <v/>
      </c>
      <c r="I16" s="440">
        <f>G16/($C$3/100)</f>
        <v/>
      </c>
      <c r="J16" s="11">
        <f>'Production Guide'!C11-'Production Guide'!D11</f>
        <v/>
      </c>
      <c r="K16" s="8" t="n"/>
      <c r="L16" s="8" t="n"/>
      <c r="M16" s="8" t="n"/>
      <c r="N16" s="8" t="n"/>
      <c r="O16" s="8" t="n"/>
      <c r="P16" s="202" t="n"/>
      <c r="Q16" s="202" t="n"/>
      <c r="R16" s="202" t="n"/>
      <c r="S16" s="202" t="n"/>
      <c r="T16" s="8" t="n"/>
      <c r="U16" s="8" t="n"/>
      <c r="V16" s="8" t="n"/>
      <c r="W16" s="8" t="n"/>
    </row>
    <row r="17" ht="15" customHeight="1">
      <c r="A17" s="360" t="inlineStr">
        <is>
          <t>Fruity Fran</t>
        </is>
      </c>
      <c r="B17" s="15" t="n"/>
      <c r="C17" s="209" t="n">
        <v>88</v>
      </c>
      <c r="D17" s="67" t="n"/>
      <c r="E17" s="29" t="n"/>
      <c r="F17" s="15" t="inlineStr">
        <is>
          <t>FF</t>
        </is>
      </c>
      <c r="G17" s="3">
        <f>C17</f>
        <v/>
      </c>
      <c r="H17" s="56">
        <f>G17/2</f>
        <v/>
      </c>
      <c r="I17" s="440">
        <f>G17/($C$3/100)</f>
        <v/>
      </c>
      <c r="J17" s="11">
        <f>'Production Guide'!C12-'Production Guide'!D12</f>
        <v/>
      </c>
      <c r="K17" s="8" t="n"/>
      <c r="L17" s="8" t="n"/>
      <c r="M17" s="8" t="n"/>
      <c r="N17" s="8" t="n"/>
      <c r="O17" s="8" t="n"/>
      <c r="P17" s="202" t="n"/>
      <c r="Q17" s="202" t="n"/>
      <c r="R17" s="202" t="n"/>
      <c r="S17" s="202" t="n"/>
      <c r="T17" s="8" t="n"/>
      <c r="U17" s="8" t="n"/>
      <c r="V17" s="8" t="n"/>
      <c r="W17" s="8" t="n"/>
    </row>
    <row r="18" ht="15" customHeight="1">
      <c r="A18" s="360" t="inlineStr">
        <is>
          <t>Jalapeño Holly</t>
        </is>
      </c>
      <c r="B18" s="15" t="n"/>
      <c r="C18" s="209" t="n">
        <v>64</v>
      </c>
      <c r="D18" s="67" t="n"/>
      <c r="E18" s="29" t="n"/>
      <c r="F18" s="15" t="inlineStr">
        <is>
          <t>JH</t>
        </is>
      </c>
      <c r="G18" s="3">
        <f>C18</f>
        <v/>
      </c>
      <c r="H18" s="56">
        <f>G18/2</f>
        <v/>
      </c>
      <c r="I18" s="440">
        <f>G18/($C$3/100)</f>
        <v/>
      </c>
      <c r="J18" s="11">
        <f>'Production Guide'!C13-'Production Guide'!D13</f>
        <v/>
      </c>
      <c r="K18" s="8" t="n"/>
      <c r="L18" s="8" t="n"/>
      <c r="M18" s="8" t="n"/>
      <c r="N18" s="8" t="n"/>
      <c r="O18" s="8" t="n"/>
      <c r="P18" s="202" t="n"/>
      <c r="Q18" s="202" t="n"/>
      <c r="R18" s="202" t="n"/>
      <c r="S18" s="202" t="n"/>
      <c r="T18" s="8" t="n"/>
      <c r="U18" s="8" t="n"/>
      <c r="V18" s="8" t="n"/>
      <c r="W18" s="8" t="n"/>
    </row>
    <row r="19" ht="15" customHeight="1">
      <c r="A19" s="360" t="inlineStr">
        <is>
          <t>Kickin Kay Lynne</t>
        </is>
      </c>
      <c r="B19" s="15" t="n"/>
      <c r="C19" s="209" t="n">
        <v>50</v>
      </c>
      <c r="D19" s="67" t="n"/>
      <c r="E19" s="29" t="n"/>
      <c r="F19" s="15" t="inlineStr">
        <is>
          <t>KKL</t>
        </is>
      </c>
      <c r="G19" s="3">
        <f>C19</f>
        <v/>
      </c>
      <c r="H19" s="56">
        <f>G19/2</f>
        <v/>
      </c>
      <c r="I19" s="440">
        <f>G19/($C$3/100)</f>
        <v/>
      </c>
      <c r="J19" s="11">
        <f>'Production Guide'!C14-'Production Guide'!D14</f>
        <v/>
      </c>
      <c r="K19" s="8" t="n"/>
      <c r="L19" s="8" t="n"/>
      <c r="M19" s="8" t="n"/>
      <c r="N19" s="8" t="n"/>
      <c r="O19" s="8" t="n"/>
      <c r="P19" s="202" t="n"/>
      <c r="Q19" s="202" t="n"/>
      <c r="R19" s="202" t="n"/>
      <c r="S19" s="202" t="n"/>
      <c r="T19" s="8" t="n"/>
      <c r="U19" s="8" t="n"/>
      <c r="V19" s="8" t="n"/>
      <c r="W19" s="8" t="n"/>
    </row>
    <row r="20" ht="15" customHeight="1">
      <c r="A20" s="360" t="inlineStr">
        <is>
          <t>Lauryn's Lemon Basil</t>
        </is>
      </c>
      <c r="B20" s="15" t="n"/>
      <c r="C20" s="209" t="n">
        <v>54</v>
      </c>
      <c r="D20" s="67" t="n"/>
      <c r="E20" s="29" t="n"/>
      <c r="F20" s="15" t="inlineStr">
        <is>
          <t>LLB</t>
        </is>
      </c>
      <c r="G20" s="3">
        <f>C20</f>
        <v/>
      </c>
      <c r="H20" s="56">
        <f>G20/2</f>
        <v/>
      </c>
      <c r="I20" s="440">
        <f>G20/($C$3/100)</f>
        <v/>
      </c>
      <c r="J20" s="11">
        <f>'Production Guide'!C15-'Production Guide'!D15</f>
        <v/>
      </c>
      <c r="K20" s="8" t="n"/>
      <c r="L20" s="8" t="n"/>
      <c r="M20" s="8" t="n"/>
      <c r="N20" s="8" t="n"/>
      <c r="O20" s="8" t="n"/>
      <c r="P20" s="202" t="n"/>
      <c r="Q20" s="202" t="n"/>
      <c r="R20" s="202" t="n"/>
      <c r="S20" s="202" t="n"/>
      <c r="T20" s="8" t="n"/>
      <c r="U20" s="8" t="n"/>
      <c r="V20" s="8" t="n"/>
      <c r="W20" s="8" t="n"/>
    </row>
    <row r="21" ht="15" customHeight="1">
      <c r="A21" s="360" t="inlineStr">
        <is>
          <t>Local Flavor</t>
        </is>
      </c>
      <c r="B21" s="15" t="n"/>
      <c r="C21" s="209" t="n">
        <v>0</v>
      </c>
      <c r="D21" s="67" t="n"/>
      <c r="E21" s="29" t="n"/>
      <c r="F21" s="15" t="inlineStr">
        <is>
          <t>LOCAL</t>
        </is>
      </c>
      <c r="G21" s="3">
        <f>C21</f>
        <v/>
      </c>
      <c r="H21" s="56">
        <f>G21/2</f>
        <v/>
      </c>
      <c r="I21" s="440">
        <f>G21/($C$3/100)</f>
        <v/>
      </c>
      <c r="J21" s="11">
        <f>'Production Guide'!C16-'Production Guide'!D16</f>
        <v/>
      </c>
      <c r="K21" s="8" t="n"/>
      <c r="L21" s="8" t="n"/>
      <c r="M21" s="8" t="n"/>
      <c r="N21" s="8" t="n"/>
      <c r="O21" s="8" t="n"/>
      <c r="P21" s="202" t="n"/>
      <c r="Q21" s="202" t="n"/>
      <c r="R21" s="202" t="n"/>
      <c r="S21" s="202" t="n"/>
      <c r="T21" s="8" t="n"/>
      <c r="U21" s="8" t="n"/>
      <c r="V21" s="8" t="n"/>
      <c r="W21" s="8" t="n"/>
    </row>
    <row r="22" ht="15" customHeight="1">
      <c r="A22" s="360" t="inlineStr">
        <is>
          <t>Olivia's Old South</t>
        </is>
      </c>
      <c r="B22" s="15" t="n"/>
      <c r="C22" s="209" t="n">
        <v>75</v>
      </c>
      <c r="D22" s="67" t="n"/>
      <c r="E22" s="29" t="n"/>
      <c r="F22" s="15" t="inlineStr">
        <is>
          <t>OOS</t>
        </is>
      </c>
      <c r="G22" s="3">
        <f>C22</f>
        <v/>
      </c>
      <c r="H22" s="56">
        <f>G22/2</f>
        <v/>
      </c>
      <c r="I22" s="440">
        <f>G22/($C$3/100)</f>
        <v/>
      </c>
      <c r="J22" s="11">
        <f>'Production Guide'!C17-'Production Guide'!D17</f>
        <v/>
      </c>
      <c r="K22" s="8" t="n"/>
      <c r="L22" s="8" t="n"/>
      <c r="M22" s="8" t="n"/>
      <c r="N22" s="8" t="n"/>
      <c r="O22" s="8" t="n"/>
      <c r="P22" s="202" t="n"/>
      <c r="Q22" s="202" t="n"/>
      <c r="R22" s="202" t="n"/>
      <c r="S22" s="202" t="n"/>
      <c r="T22" s="8" t="n"/>
      <c r="U22" s="8" t="n"/>
      <c r="V22" s="8" t="n"/>
      <c r="W22" s="8" t="n"/>
    </row>
    <row r="23" ht="15" customHeight="1">
      <c r="A23" s="360" t="inlineStr">
        <is>
          <t>Sassy Scotty</t>
        </is>
      </c>
      <c r="B23" s="15" t="n"/>
      <c r="C23" s="209" t="n">
        <v>94</v>
      </c>
      <c r="D23" s="67" t="n"/>
      <c r="E23" s="29" t="n"/>
      <c r="F23" s="15" t="inlineStr">
        <is>
          <t>SS</t>
        </is>
      </c>
      <c r="G23" s="3">
        <f>C23</f>
        <v/>
      </c>
      <c r="H23" s="56">
        <f>G23/2</f>
        <v/>
      </c>
      <c r="I23" s="440">
        <f>G23/($C$3/100)</f>
        <v/>
      </c>
      <c r="J23" s="11">
        <f>'Production Guide'!C18-'Production Guide'!D18</f>
        <v/>
      </c>
      <c r="K23" s="8" t="n"/>
      <c r="L23" s="8" t="n"/>
      <c r="M23" s="8" t="n"/>
      <c r="N23" s="8" t="n"/>
      <c r="O23" s="8" t="n"/>
      <c r="P23" s="202" t="n"/>
      <c r="Q23" s="202" t="n"/>
      <c r="R23" s="202" t="n"/>
      <c r="S23" s="202" t="n"/>
      <c r="T23" s="8" t="n"/>
      <c r="U23" s="8" t="n"/>
      <c r="V23" s="8" t="n"/>
      <c r="W23" s="8" t="n"/>
    </row>
    <row r="24" ht="15" customHeight="1">
      <c r="A24" s="360" t="inlineStr">
        <is>
          <t>LTO</t>
        </is>
      </c>
      <c r="B24" s="15" t="n"/>
      <c r="C24" s="218" t="n">
        <v>52</v>
      </c>
      <c r="D24" s="67" t="n"/>
      <c r="E24" s="29" t="n"/>
      <c r="F24" s="15" t="inlineStr">
        <is>
          <t>LTO</t>
        </is>
      </c>
      <c r="G24" s="3">
        <f>C24</f>
        <v/>
      </c>
      <c r="H24" s="56">
        <f>G24/2</f>
        <v/>
      </c>
      <c r="I24" s="440">
        <f>G24/($C$3/100)</f>
        <v/>
      </c>
      <c r="J24" s="11">
        <f>'Production Guide'!C19-'Production Guide'!D19</f>
        <v/>
      </c>
      <c r="K24" s="8" t="n"/>
      <c r="L24" s="8" t="n"/>
      <c r="M24" s="8" t="n"/>
      <c r="N24" s="8" t="n"/>
      <c r="O24" s="8" t="n"/>
      <c r="P24" s="202" t="n"/>
      <c r="Q24" s="202" t="n"/>
      <c r="R24" s="202" t="n"/>
      <c r="S24" s="202" t="n"/>
      <c r="T24" s="8" t="n"/>
      <c r="U24" s="8" t="n"/>
      <c r="V24" s="8" t="n"/>
      <c r="W24" s="8" t="n"/>
    </row>
    <row r="25" ht="15" customHeight="1">
      <c r="A25" s="360" t="inlineStr">
        <is>
          <t>Egg Salad</t>
        </is>
      </c>
      <c r="B25" s="15" t="n"/>
      <c r="C25" s="209" t="n">
        <v>57</v>
      </c>
      <c r="D25" s="67" t="n"/>
      <c r="E25" s="29" t="n"/>
      <c r="F25" s="15" t="inlineStr">
        <is>
          <t>EGG SALAD</t>
        </is>
      </c>
      <c r="G25" s="3">
        <f>C25</f>
        <v/>
      </c>
      <c r="H25" s="56">
        <f>G25/2</f>
        <v/>
      </c>
      <c r="I25" s="440">
        <f>G25/($C$3/100)</f>
        <v/>
      </c>
      <c r="J25" s="11">
        <f>'Production Guide'!C20-'Production Guide'!D20</f>
        <v/>
      </c>
      <c r="K25" s="8" t="n"/>
      <c r="L25" s="8" t="n"/>
      <c r="M25" s="8" t="n"/>
      <c r="N25" s="8" t="n"/>
      <c r="O25" s="8" t="n"/>
      <c r="P25" s="202" t="n"/>
      <c r="Q25" s="202" t="n"/>
      <c r="R25" s="202" t="n"/>
      <c r="S25" s="202" t="n"/>
      <c r="T25" s="8" t="n"/>
      <c r="U25" s="8" t="n"/>
      <c r="V25" s="8" t="n"/>
      <c r="W25" s="8" t="n"/>
    </row>
    <row r="26" ht="15" customHeight="1">
      <c r="A26" s="360" t="inlineStr">
        <is>
          <t>Pimento Cheese</t>
        </is>
      </c>
      <c r="B26" s="15" t="n"/>
      <c r="C26" s="208" t="n">
        <v>77</v>
      </c>
      <c r="D26" s="67" t="n"/>
      <c r="E26" s="29" t="n"/>
      <c r="F26" s="15" t="inlineStr">
        <is>
          <t>PC</t>
        </is>
      </c>
      <c r="G26" s="3">
        <f>C26</f>
        <v/>
      </c>
      <c r="H26" s="56">
        <f>G26/2</f>
        <v/>
      </c>
      <c r="I26" s="440">
        <f>G26/($C$3/100)</f>
        <v/>
      </c>
      <c r="J26" s="11">
        <f>'Production Guide'!C21-'Production Guide'!D21</f>
        <v/>
      </c>
      <c r="K26" s="8" t="n"/>
      <c r="L26" s="8" t="n"/>
      <c r="M26" s="8" t="n"/>
      <c r="N26" s="8" t="n"/>
      <c r="O26" s="8" t="n"/>
      <c r="P26" s="202" t="n"/>
      <c r="Q26" s="202" t="n"/>
      <c r="R26" s="202" t="n"/>
      <c r="S26" s="202" t="n"/>
      <c r="T26" s="8" t="n"/>
      <c r="U26" s="8" t="n"/>
      <c r="V26" s="8" t="n"/>
      <c r="W26" s="8" t="n"/>
    </row>
    <row r="27" ht="15" customHeight="1" thickBot="1">
      <c r="A27" s="385" t="inlineStr">
        <is>
          <t>Spicy Pimento Cheese</t>
        </is>
      </c>
      <c r="B27" s="30" t="n"/>
      <c r="C27" s="205" t="n">
        <v>26</v>
      </c>
      <c r="D27" s="67" t="n"/>
      <c r="E27" s="29" t="n"/>
      <c r="F27" s="30" t="inlineStr">
        <is>
          <t>SPICY PC</t>
        </is>
      </c>
      <c r="G27" s="130">
        <f>C27</f>
        <v/>
      </c>
      <c r="H27" s="162">
        <f>G27/2</f>
        <v/>
      </c>
      <c r="I27" s="441">
        <f>G27/($C$3/100)</f>
        <v/>
      </c>
      <c r="J27" s="163">
        <f>'Production Guide'!C22-'Production Guide'!D22</f>
        <v/>
      </c>
      <c r="K27" s="8" t="n"/>
      <c r="L27" s="8" t="n"/>
      <c r="M27" s="8" t="n"/>
      <c r="N27" s="8" t="n"/>
      <c r="O27" s="8" t="n"/>
      <c r="P27" s="202" t="n"/>
      <c r="Q27" s="202" t="n"/>
      <c r="R27" s="202" t="n"/>
      <c r="S27" s="202" t="n"/>
      <c r="T27" s="8" t="n"/>
      <c r="U27" s="8" t="n"/>
      <c r="V27" s="8" t="n"/>
      <c r="W27" s="8" t="n"/>
    </row>
    <row r="28" ht="15" customHeight="1" thickBot="1">
      <c r="A28" s="8" t="n"/>
      <c r="B28" s="8" t="n"/>
      <c r="C28" s="219" t="n"/>
      <c r="D28" s="8" t="n"/>
      <c r="E28" s="8" t="n"/>
      <c r="F28" s="8" t="n"/>
      <c r="G28" s="216" t="n"/>
      <c r="H28" s="8" t="n"/>
      <c r="I28" s="216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</row>
    <row r="29" ht="15.75" customHeight="1" thickBot="1">
      <c r="A29" s="358" t="inlineStr">
        <is>
          <t>Large Bowls</t>
        </is>
      </c>
      <c r="B29" s="424" t="n"/>
      <c r="C29" s="220" t="n"/>
      <c r="D29" s="67" t="n"/>
      <c r="E29" s="29" t="n"/>
      <c r="F29" s="214" t="inlineStr">
        <is>
          <t>Flavor</t>
        </is>
      </c>
      <c r="G29" s="214" t="inlineStr">
        <is>
          <t>Total #'s</t>
        </is>
      </c>
      <c r="H29" s="214" t="inlineStr">
        <is>
          <t>Usage/100</t>
        </is>
      </c>
      <c r="I29" s="214" t="inlineStr">
        <is>
          <t>Prep Amt</t>
        </is>
      </c>
    </row>
    <row r="30">
      <c r="A30" s="366" t="inlineStr">
        <is>
          <t>Barbie Q</t>
        </is>
      </c>
      <c r="B30" s="177" t="n"/>
      <c r="C30" s="262" t="n">
        <v>37</v>
      </c>
      <c r="F30" s="382" t="inlineStr">
        <is>
          <t>BBQ</t>
        </is>
      </c>
      <c r="G30" s="3">
        <f>C30</f>
        <v/>
      </c>
      <c r="H30" s="440">
        <f>G30/($C$3/100)</f>
        <v/>
      </c>
      <c r="I30" s="11">
        <f>'Production Guide'!I6-'Production Guide'!J6</f>
        <v/>
      </c>
    </row>
    <row r="31">
      <c r="A31" s="366" t="inlineStr">
        <is>
          <t>Buffalo Barclay</t>
        </is>
      </c>
      <c r="B31" s="177" t="n"/>
      <c r="C31" s="263" t="n">
        <v>47</v>
      </c>
      <c r="F31" s="177" t="inlineStr">
        <is>
          <t>BB</t>
        </is>
      </c>
      <c r="G31" s="3">
        <f>C31</f>
        <v/>
      </c>
      <c r="H31" s="440">
        <f>G31/($C$3/100)</f>
        <v/>
      </c>
      <c r="I31" s="11">
        <f>'Production Guide'!I7-'Production Guide'!J7</f>
        <v/>
      </c>
    </row>
    <row r="32">
      <c r="A32" s="360" t="inlineStr">
        <is>
          <t>Classic Carol</t>
        </is>
      </c>
      <c r="B32" s="15" t="n"/>
      <c r="C32" s="264" t="n">
        <v>300</v>
      </c>
      <c r="F32" s="15" t="inlineStr">
        <is>
          <t>CC</t>
        </is>
      </c>
      <c r="G32" s="3">
        <f>C32</f>
        <v/>
      </c>
      <c r="H32" s="440">
        <f>G32/($C$3/100)</f>
        <v/>
      </c>
      <c r="I32" s="11">
        <f>'Production Guide'!I8-'Production Guide'!J8</f>
        <v/>
      </c>
    </row>
    <row r="33">
      <c r="A33" s="360" t="inlineStr">
        <is>
          <t>Cranberry Kelli</t>
        </is>
      </c>
      <c r="B33" s="15" t="n"/>
      <c r="C33" s="264" t="n">
        <v>132</v>
      </c>
      <c r="F33" s="15" t="inlineStr">
        <is>
          <t>CK</t>
        </is>
      </c>
      <c r="G33" s="3">
        <f>C33</f>
        <v/>
      </c>
      <c r="H33" s="440">
        <f>G33/($C$3/100)</f>
        <v/>
      </c>
      <c r="I33" s="11">
        <f>'Production Guide'!I9-'Production Guide'!J9</f>
        <v/>
      </c>
    </row>
    <row r="34">
      <c r="A34" s="360" t="inlineStr">
        <is>
          <t>Dixie Chick</t>
        </is>
      </c>
      <c r="B34" s="15" t="n"/>
      <c r="C34" s="264" t="n">
        <v>48</v>
      </c>
      <c r="F34" s="15" t="inlineStr">
        <is>
          <t>DC</t>
        </is>
      </c>
      <c r="G34" s="3">
        <f>C34</f>
        <v/>
      </c>
      <c r="H34" s="440">
        <f>G34/($C$3/100)</f>
        <v/>
      </c>
      <c r="I34" s="11">
        <f>'Production Guide'!I10-'Production Guide'!J10</f>
        <v/>
      </c>
    </row>
    <row r="35">
      <c r="A35" s="360" t="inlineStr">
        <is>
          <t>Fancy Nancy</t>
        </is>
      </c>
      <c r="B35" s="15" t="n"/>
      <c r="C35" s="264" t="n">
        <v>290</v>
      </c>
      <c r="F35" s="15" t="inlineStr">
        <is>
          <t>FN</t>
        </is>
      </c>
      <c r="G35" s="3">
        <f>C35</f>
        <v/>
      </c>
      <c r="H35" s="440">
        <f>G35/($C$3/100)</f>
        <v/>
      </c>
      <c r="I35" s="11">
        <f>'Production Guide'!I11-'Production Guide'!J11</f>
        <v/>
      </c>
    </row>
    <row r="36">
      <c r="A36" s="360" t="inlineStr">
        <is>
          <t>Fruity Fran</t>
        </is>
      </c>
      <c r="B36" s="15" t="n"/>
      <c r="C36" s="264" t="n">
        <v>92</v>
      </c>
      <c r="D36" s="67" t="n"/>
      <c r="F36" s="15" t="inlineStr">
        <is>
          <t>FF</t>
        </is>
      </c>
      <c r="G36" s="3">
        <f>C36</f>
        <v/>
      </c>
      <c r="H36" s="440">
        <f>G36/($C$3/100)</f>
        <v/>
      </c>
      <c r="I36" s="182">
        <f>'Production Guide'!I12-'Production Guide'!J12</f>
        <v/>
      </c>
    </row>
    <row r="37">
      <c r="A37" s="360" t="inlineStr">
        <is>
          <t>Jalapeño Holly</t>
        </is>
      </c>
      <c r="B37" s="15" t="n"/>
      <c r="C37" s="264" t="n">
        <v>82</v>
      </c>
      <c r="D37" s="67" t="n"/>
      <c r="F37" s="15" t="inlineStr">
        <is>
          <t>JH</t>
        </is>
      </c>
      <c r="G37" s="3">
        <f>C37</f>
        <v/>
      </c>
      <c r="H37" s="440">
        <f>G37/($C$3/100)</f>
        <v/>
      </c>
      <c r="I37" s="11">
        <f>'Production Guide'!I13-'Production Guide'!J13</f>
        <v/>
      </c>
    </row>
    <row r="38">
      <c r="A38" s="360" t="inlineStr">
        <is>
          <t>Kickin Kay Lynne</t>
        </is>
      </c>
      <c r="B38" s="15" t="n"/>
      <c r="C38" s="264" t="n">
        <v>34</v>
      </c>
      <c r="D38" s="67" t="n"/>
      <c r="F38" s="15" t="inlineStr">
        <is>
          <t>KKL</t>
        </is>
      </c>
      <c r="G38" s="3">
        <f>C38</f>
        <v/>
      </c>
      <c r="H38" s="440">
        <f>G38/($C$3/100)</f>
        <v/>
      </c>
      <c r="I38" s="11">
        <f>'Production Guide'!I14-'Production Guide'!J14</f>
        <v/>
      </c>
    </row>
    <row r="39">
      <c r="A39" s="360" t="inlineStr">
        <is>
          <t>Lauryn's Lemon Basil</t>
        </is>
      </c>
      <c r="B39" s="15" t="n"/>
      <c r="C39" s="264" t="n">
        <v>50</v>
      </c>
      <c r="D39" s="67" t="n"/>
      <c r="F39" s="15" t="inlineStr">
        <is>
          <t>LLB</t>
        </is>
      </c>
      <c r="G39" s="3">
        <f>C39</f>
        <v/>
      </c>
      <c r="H39" s="440">
        <f>G39/($C$3/100)</f>
        <v/>
      </c>
      <c r="I39" s="11">
        <f>'Production Guide'!I15-'Production Guide'!J15</f>
        <v/>
      </c>
    </row>
    <row r="40">
      <c r="A40" s="360" t="inlineStr">
        <is>
          <t>Local Flavor</t>
        </is>
      </c>
      <c r="B40" s="15" t="n"/>
      <c r="C40" s="264" t="n">
        <v>0</v>
      </c>
      <c r="D40" s="67" t="n"/>
      <c r="F40" s="15" t="inlineStr">
        <is>
          <t>LOCAL</t>
        </is>
      </c>
      <c r="G40" s="3">
        <f>C40</f>
        <v/>
      </c>
      <c r="H40" s="440">
        <f>G40/($C$3/100)</f>
        <v/>
      </c>
      <c r="I40" s="11">
        <f>'Production Guide'!I16-'Production Guide'!J16</f>
        <v/>
      </c>
    </row>
    <row r="41">
      <c r="A41" s="360" t="inlineStr">
        <is>
          <t>Olivia's Old South</t>
        </is>
      </c>
      <c r="B41" s="15" t="n"/>
      <c r="C41" s="264" t="n">
        <v>83</v>
      </c>
      <c r="D41" s="67" t="n"/>
      <c r="F41" s="15" t="inlineStr">
        <is>
          <t>OOS</t>
        </is>
      </c>
      <c r="G41" s="3">
        <f>C41</f>
        <v/>
      </c>
      <c r="H41" s="440">
        <f>G41/($C$3/100)</f>
        <v/>
      </c>
      <c r="I41" s="11">
        <f>'Production Guide'!I17-'Production Guide'!J17</f>
        <v/>
      </c>
    </row>
    <row r="42">
      <c r="A42" s="360" t="inlineStr">
        <is>
          <t>Sassy Scotty</t>
        </is>
      </c>
      <c r="B42" s="15" t="n"/>
      <c r="C42" s="264" t="n">
        <v>100</v>
      </c>
      <c r="D42" s="67" t="n"/>
      <c r="F42" s="15" t="inlineStr">
        <is>
          <t>SS</t>
        </is>
      </c>
      <c r="G42" s="3">
        <f>C42</f>
        <v/>
      </c>
      <c r="H42" s="440">
        <f>G42/($C$3/100)</f>
        <v/>
      </c>
      <c r="I42" s="11">
        <f>'Production Guide'!I18-'Production Guide'!J18</f>
        <v/>
      </c>
    </row>
    <row r="43">
      <c r="A43" s="360" t="inlineStr">
        <is>
          <t>LTO</t>
        </is>
      </c>
      <c r="B43" s="15" t="n"/>
      <c r="C43" s="265" t="n">
        <v>36</v>
      </c>
      <c r="D43" s="67" t="n"/>
      <c r="F43" s="15" t="inlineStr">
        <is>
          <t>LTO</t>
        </is>
      </c>
      <c r="G43" s="3">
        <f>C43</f>
        <v/>
      </c>
      <c r="H43" s="440">
        <f>G43/($C$3/100)</f>
        <v/>
      </c>
      <c r="I43" s="11">
        <f>'Production Guide'!I19-'Production Guide'!J19</f>
        <v/>
      </c>
    </row>
    <row r="44">
      <c r="A44" s="360" t="inlineStr">
        <is>
          <t>Egg Salad</t>
        </is>
      </c>
      <c r="B44" s="15" t="n"/>
      <c r="C44" s="264" t="n">
        <v>42</v>
      </c>
      <c r="D44" s="67" t="n"/>
      <c r="F44" s="15" t="inlineStr">
        <is>
          <t>EGG SALAD</t>
        </is>
      </c>
      <c r="G44" s="3">
        <f>C44</f>
        <v/>
      </c>
      <c r="H44" s="440">
        <f>G44/($C$3/100)</f>
        <v/>
      </c>
      <c r="I44" s="11">
        <f>'Production Guide'!I20-'Production Guide'!J20</f>
        <v/>
      </c>
    </row>
    <row r="45">
      <c r="A45" s="360" t="inlineStr">
        <is>
          <t>Pimento Cheese</t>
        </is>
      </c>
      <c r="B45" s="15" t="n"/>
      <c r="C45" s="263" t="n">
        <v>48</v>
      </c>
      <c r="D45" s="67" t="n"/>
      <c r="F45" s="15" t="inlineStr">
        <is>
          <t>PC</t>
        </is>
      </c>
      <c r="G45" s="3">
        <f>C45</f>
        <v/>
      </c>
      <c r="H45" s="440">
        <f>G45/($C$3/100)</f>
        <v/>
      </c>
      <c r="I45" s="11">
        <f>'Production Guide'!I21-'Production Guide'!J21</f>
        <v/>
      </c>
    </row>
    <row r="46" ht="15.75" customHeight="1" thickBot="1">
      <c r="A46" s="386" t="inlineStr">
        <is>
          <t>Spicy Pimento Cheese</t>
        </is>
      </c>
      <c r="B46" s="30" t="n"/>
      <c r="C46" s="264" t="n">
        <v>13</v>
      </c>
      <c r="D46" s="67" t="n"/>
      <c r="F46" s="30" t="inlineStr">
        <is>
          <t>SPICY PC</t>
        </is>
      </c>
      <c r="G46" s="10">
        <f>C46</f>
        <v/>
      </c>
      <c r="H46" s="442">
        <f>G46/($C$3/100)</f>
        <v/>
      </c>
      <c r="I46" s="163">
        <f>'Production Guide'!I22-'Production Guide'!J22</f>
        <v/>
      </c>
    </row>
    <row r="47" ht="15.75" customHeight="1" thickBot="1">
      <c r="A47" s="222" t="n"/>
      <c r="B47" s="362" t="n"/>
      <c r="Q47" s="443" t="n"/>
    </row>
    <row r="48" ht="15.75" customHeight="1">
      <c r="A48" s="444" t="inlineStr">
        <is>
          <t>Scoops + Sandwiches</t>
        </is>
      </c>
      <c r="B48" s="73" t="n"/>
      <c r="C48" s="180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</row>
    <row r="49" ht="14.45" customHeight="1" thickBot="1">
      <c r="A49" s="414" t="n"/>
      <c r="B49" s="252" t="n"/>
      <c r="C49" s="415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</row>
    <row r="50" ht="15.75" customHeight="1" thickBot="1">
      <c r="A50" s="364" t="inlineStr">
        <is>
          <t>Scoop + Sandwich</t>
        </is>
      </c>
      <c r="B50" s="445" t="n"/>
      <c r="C50" s="217" t="n"/>
      <c r="D50" s="67" t="n"/>
      <c r="E50" s="29" t="n"/>
      <c r="F50" s="223" t="inlineStr">
        <is>
          <t>Flavor</t>
        </is>
      </c>
      <c r="G50" s="214" t="inlineStr">
        <is>
          <t>Total sc</t>
        </is>
      </c>
      <c r="H50" s="214" t="inlineStr">
        <is>
          <t>Total #'s</t>
        </is>
      </c>
      <c r="I50" s="214" t="inlineStr">
        <is>
          <t>Usage/100</t>
        </is>
      </c>
      <c r="J50" s="214" t="inlineStr">
        <is>
          <t>Prep Amt</t>
        </is>
      </c>
    </row>
    <row r="51">
      <c r="A51" s="362" t="inlineStr">
        <is>
          <t>Barbie Q</t>
        </is>
      </c>
      <c r="C51" s="221" t="n">
        <v>288</v>
      </c>
      <c r="D51" s="67" t="n"/>
      <c r="E51" s="29" t="n"/>
      <c r="F51" s="284" t="inlineStr">
        <is>
          <t>BBQ</t>
        </is>
      </c>
      <c r="G51" s="224">
        <f>C51</f>
        <v/>
      </c>
      <c r="H51" s="225">
        <f>G51/4</f>
        <v/>
      </c>
      <c r="I51" s="446">
        <f>H51/($C$3/100)</f>
        <v/>
      </c>
      <c r="J51" s="215">
        <f>'Production Guide'!P6-'Production Guide'!Q6</f>
        <v/>
      </c>
    </row>
    <row r="52">
      <c r="A52" s="14" t="inlineStr">
        <is>
          <t>Buffalo Barclay</t>
        </is>
      </c>
      <c r="B52" s="15" t="n"/>
      <c r="C52" s="221" t="n">
        <v>546</v>
      </c>
      <c r="E52" s="29" t="n"/>
      <c r="F52" s="177" t="inlineStr">
        <is>
          <t>BB</t>
        </is>
      </c>
      <c r="G52" s="3">
        <f>C52</f>
        <v/>
      </c>
      <c r="H52" s="7">
        <f>G52/4</f>
        <v/>
      </c>
      <c r="I52" s="447">
        <f>H52/($C$3/100)</f>
        <v/>
      </c>
      <c r="J52" s="182">
        <f>'Production Guide'!P7-'Production Guide'!Q7</f>
        <v/>
      </c>
    </row>
    <row r="53">
      <c r="A53" s="360" t="inlineStr">
        <is>
          <t>Classic Carol</t>
        </is>
      </c>
      <c r="B53" s="285" t="n"/>
      <c r="C53" s="209" t="n">
        <v>1831</v>
      </c>
      <c r="E53" s="29" t="n"/>
      <c r="F53" s="15" t="inlineStr">
        <is>
          <t>CC</t>
        </is>
      </c>
      <c r="G53" s="3">
        <f>C53</f>
        <v/>
      </c>
      <c r="H53" s="7">
        <f>G53/4</f>
        <v/>
      </c>
      <c r="I53" s="447">
        <f>H53/($C$3/100)</f>
        <v/>
      </c>
      <c r="J53" s="11">
        <f>'Production Guide'!P8-'Production Guide'!Q8</f>
        <v/>
      </c>
    </row>
    <row r="54">
      <c r="A54" s="360" t="inlineStr">
        <is>
          <t>Cranberry Kelli</t>
        </is>
      </c>
      <c r="B54" s="285" t="n"/>
      <c r="C54" s="209" t="n">
        <v>700</v>
      </c>
      <c r="E54" s="29" t="n"/>
      <c r="F54" s="15" t="inlineStr">
        <is>
          <t>CK</t>
        </is>
      </c>
      <c r="G54" s="3">
        <f>C54</f>
        <v/>
      </c>
      <c r="H54" s="7">
        <f>G54/4</f>
        <v/>
      </c>
      <c r="I54" s="447">
        <f>H54/($C$3/100)</f>
        <v/>
      </c>
      <c r="J54" s="11">
        <f>'Production Guide'!P9-'Production Guide'!Q9</f>
        <v/>
      </c>
    </row>
    <row r="55">
      <c r="A55" s="361" t="inlineStr">
        <is>
          <t>Dixie Chick</t>
        </is>
      </c>
      <c r="B55" s="284" t="n"/>
      <c r="C55" s="209" t="n">
        <v>418</v>
      </c>
      <c r="E55" s="29" t="n"/>
      <c r="F55" s="15" t="inlineStr">
        <is>
          <t>DC</t>
        </is>
      </c>
      <c r="G55" s="3">
        <f>C55</f>
        <v/>
      </c>
      <c r="H55" s="7">
        <f>G55/4</f>
        <v/>
      </c>
      <c r="I55" s="447">
        <f>H55/($C$3/100)</f>
        <v/>
      </c>
      <c r="J55" s="11">
        <f>'Production Guide'!P10-'Production Guide'!Q10</f>
        <v/>
      </c>
    </row>
    <row r="56">
      <c r="A56" s="360" t="inlineStr">
        <is>
          <t>Fancy Nancy</t>
        </is>
      </c>
      <c r="B56" s="285" t="n"/>
      <c r="C56" s="209" t="n">
        <v>2032</v>
      </c>
      <c r="E56" s="29" t="n"/>
      <c r="F56" s="15" t="inlineStr">
        <is>
          <t>FN</t>
        </is>
      </c>
      <c r="G56" s="3">
        <f>C56</f>
        <v/>
      </c>
      <c r="H56" s="7">
        <f>G56/4</f>
        <v/>
      </c>
      <c r="I56" s="447">
        <f>H56/($C$3/100)</f>
        <v/>
      </c>
      <c r="J56" s="11">
        <f>'Production Guide'!P11-'Production Guide'!Q11</f>
        <v/>
      </c>
    </row>
    <row r="57">
      <c r="A57" s="361" t="inlineStr">
        <is>
          <t>Fruity Fran</t>
        </is>
      </c>
      <c r="B57" s="284" t="n"/>
      <c r="C57" s="209" t="n">
        <v>764</v>
      </c>
      <c r="E57" s="29" t="n"/>
      <c r="F57" s="15" t="inlineStr">
        <is>
          <t>FF</t>
        </is>
      </c>
      <c r="G57" s="3">
        <f>C57</f>
        <v/>
      </c>
      <c r="H57" s="7">
        <f>G57/4</f>
        <v/>
      </c>
      <c r="I57" s="447">
        <f>H57/($C$3/100)</f>
        <v/>
      </c>
      <c r="J57" s="11">
        <f>'Production Guide'!P12-'Production Guide'!Q12</f>
        <v/>
      </c>
    </row>
    <row r="58">
      <c r="A58" s="360" t="inlineStr">
        <is>
          <t>Jalapeño Holly</t>
        </is>
      </c>
      <c r="B58" s="285" t="n"/>
      <c r="C58" s="209" t="n">
        <v>561</v>
      </c>
      <c r="E58" s="29" t="n"/>
      <c r="F58" s="15" t="inlineStr">
        <is>
          <t>JH</t>
        </is>
      </c>
      <c r="G58" s="3">
        <f>C58</f>
        <v/>
      </c>
      <c r="H58" s="7">
        <f>G58/4</f>
        <v/>
      </c>
      <c r="I58" s="447">
        <f>H58/($C$3/100)</f>
        <v/>
      </c>
      <c r="J58" s="11">
        <f>'Production Guide'!P13-'Production Guide'!Q13</f>
        <v/>
      </c>
    </row>
    <row r="59">
      <c r="A59" s="360" t="inlineStr">
        <is>
          <t>Kickin Kay Lynne</t>
        </is>
      </c>
      <c r="B59" s="285" t="n"/>
      <c r="C59" s="209" t="n">
        <v>505</v>
      </c>
      <c r="D59" s="67" t="n"/>
      <c r="E59" s="29" t="n"/>
      <c r="F59" s="15" t="inlineStr">
        <is>
          <t>KKL</t>
        </is>
      </c>
      <c r="G59" s="3">
        <f>C59</f>
        <v/>
      </c>
      <c r="H59" s="7">
        <f>G59/4</f>
        <v/>
      </c>
      <c r="I59" s="447">
        <f>H59/($C$3/100)</f>
        <v/>
      </c>
      <c r="J59" s="11">
        <f>'Production Guide'!P14-'Production Guide'!Q14</f>
        <v/>
      </c>
    </row>
    <row r="60">
      <c r="A60" s="360" t="inlineStr">
        <is>
          <t>Lauryn's Lemon Basil</t>
        </is>
      </c>
      <c r="B60" s="285" t="n"/>
      <c r="C60" s="209" t="n">
        <v>384</v>
      </c>
      <c r="D60" s="67" t="n"/>
      <c r="E60" s="29" t="n"/>
      <c r="F60" s="15" t="inlineStr">
        <is>
          <t>LLB</t>
        </is>
      </c>
      <c r="G60" s="3">
        <f>C60</f>
        <v/>
      </c>
      <c r="H60" s="7">
        <f>G60/4</f>
        <v/>
      </c>
      <c r="I60" s="447">
        <f>H60/($C$3/100)</f>
        <v/>
      </c>
      <c r="J60" s="11">
        <f>'Production Guide'!P15-'Production Guide'!Q15</f>
        <v/>
      </c>
    </row>
    <row r="61">
      <c r="A61" s="360" t="inlineStr">
        <is>
          <t>Local Flavor</t>
        </is>
      </c>
      <c r="B61" s="15" t="n"/>
      <c r="C61" s="209" t="n">
        <v>0</v>
      </c>
      <c r="D61" s="67" t="n"/>
      <c r="E61" s="29" t="n"/>
      <c r="F61" s="15" t="inlineStr">
        <is>
          <t>LOCAL</t>
        </is>
      </c>
      <c r="G61" s="3">
        <f>C61</f>
        <v/>
      </c>
      <c r="H61" s="7">
        <f>G61/4</f>
        <v/>
      </c>
      <c r="I61" s="447">
        <f>H61/($C$3/100)</f>
        <v/>
      </c>
      <c r="J61" s="11">
        <f>'Production Guide'!P16-'Production Guide'!Q16</f>
        <v/>
      </c>
    </row>
    <row r="62">
      <c r="A62" s="360" t="inlineStr">
        <is>
          <t>Olivia's Old South</t>
        </is>
      </c>
      <c r="B62" s="285" t="n"/>
      <c r="C62" s="209" t="n">
        <v>767</v>
      </c>
      <c r="D62" s="67" t="n"/>
      <c r="E62" s="29" t="n"/>
      <c r="F62" s="15" t="inlineStr">
        <is>
          <t>OOS</t>
        </is>
      </c>
      <c r="G62" s="3">
        <f>C62</f>
        <v/>
      </c>
      <c r="H62" s="7">
        <f>G62/4</f>
        <v/>
      </c>
      <c r="I62" s="447">
        <f>H62/($C$3/100)</f>
        <v/>
      </c>
      <c r="J62" s="11">
        <f>'Production Guide'!P17-'Production Guide'!Q17</f>
        <v/>
      </c>
    </row>
    <row r="63">
      <c r="A63" s="360" t="inlineStr">
        <is>
          <t>Sassy Scotty</t>
        </is>
      </c>
      <c r="B63" s="15" t="n"/>
      <c r="C63" s="209" t="n">
        <v>892</v>
      </c>
      <c r="D63" s="67" t="n"/>
      <c r="E63" s="29" t="n"/>
      <c r="F63" s="15" t="inlineStr">
        <is>
          <t>SS</t>
        </is>
      </c>
      <c r="G63" s="3">
        <f>C63</f>
        <v/>
      </c>
      <c r="H63" s="7">
        <f>G63/4</f>
        <v/>
      </c>
      <c r="I63" s="447">
        <f>H63/($C$3/100)</f>
        <v/>
      </c>
      <c r="J63" s="11">
        <f>'Production Guide'!P18-'Production Guide'!Q18</f>
        <v/>
      </c>
    </row>
    <row r="64">
      <c r="A64" s="360" t="inlineStr">
        <is>
          <t>LTO</t>
        </is>
      </c>
      <c r="B64" s="15" t="n"/>
      <c r="C64" s="209" t="n">
        <v>318</v>
      </c>
      <c r="D64" s="67" t="n"/>
      <c r="E64" s="29" t="n"/>
      <c r="F64" s="15" t="inlineStr">
        <is>
          <t>LTO</t>
        </is>
      </c>
      <c r="G64" s="3">
        <f>C64</f>
        <v/>
      </c>
      <c r="H64" s="7">
        <f>G64/4</f>
        <v/>
      </c>
      <c r="I64" s="447">
        <f>H64/($C$3/100)</f>
        <v/>
      </c>
      <c r="J64" s="11">
        <f>'Production Guide'!P19-'Production Guide'!Q19</f>
        <v/>
      </c>
    </row>
    <row r="65">
      <c r="A65" s="360" t="inlineStr">
        <is>
          <t>Egg Salad</t>
        </is>
      </c>
      <c r="B65" s="15" t="n"/>
      <c r="C65" s="209" t="n">
        <v>300</v>
      </c>
      <c r="D65" s="67" t="n"/>
      <c r="E65" s="29" t="n"/>
      <c r="F65" s="15" t="inlineStr">
        <is>
          <t>EGG SALAD</t>
        </is>
      </c>
      <c r="G65" s="3">
        <f>C65</f>
        <v/>
      </c>
      <c r="H65" s="7">
        <f>G65/4</f>
        <v/>
      </c>
      <c r="I65" s="447">
        <f>H65/($C$3/100)</f>
        <v/>
      </c>
      <c r="J65" s="11">
        <f>'Production Guide'!P20-'Production Guide'!Q20</f>
        <v/>
      </c>
    </row>
    <row r="66">
      <c r="A66" s="360" t="inlineStr">
        <is>
          <t>Pimento Cheese</t>
        </is>
      </c>
      <c r="B66" s="285" t="n"/>
      <c r="C66" s="209" t="n">
        <v>259</v>
      </c>
      <c r="D66" s="67" t="n"/>
      <c r="E66" s="29" t="n"/>
      <c r="F66" s="15" t="inlineStr">
        <is>
          <t>PC</t>
        </is>
      </c>
      <c r="G66" s="3">
        <f>C66</f>
        <v/>
      </c>
      <c r="H66" s="7">
        <f>G66/4</f>
        <v/>
      </c>
      <c r="I66" s="447">
        <f>H66/($C$3/100)</f>
        <v/>
      </c>
      <c r="J66" s="11">
        <f>'Production Guide'!P21-'Production Guide'!Q21</f>
        <v/>
      </c>
    </row>
    <row r="67" ht="15.75" customHeight="1" thickBot="1">
      <c r="A67" s="385" t="inlineStr">
        <is>
          <t>Spicy Pimento Cheese</t>
        </is>
      </c>
      <c r="B67" s="386" t="n"/>
      <c r="C67" s="205" t="n">
        <v>124</v>
      </c>
      <c r="E67" s="29" t="n"/>
      <c r="F67" s="30" t="inlineStr">
        <is>
          <t>SPICY PC</t>
        </is>
      </c>
      <c r="G67" s="130">
        <f>C67</f>
        <v/>
      </c>
      <c r="H67" s="12">
        <f>G67/4</f>
        <v/>
      </c>
      <c r="I67" s="442">
        <f>H67/($C$3/100)</f>
        <v/>
      </c>
      <c r="J67" s="163">
        <f>'Production Guide'!P22-'Production Guide'!Q22</f>
        <v/>
      </c>
    </row>
    <row r="68" ht="15.75" customHeight="1" thickBot="1">
      <c r="G68" s="73" t="n"/>
    </row>
    <row r="69" ht="14.45" customFormat="1" customHeight="1" s="8">
      <c r="A69" s="448" t="inlineStr">
        <is>
          <t>Side Items</t>
        </is>
      </c>
      <c r="B69" s="73" t="n"/>
      <c r="C69" s="73" t="n"/>
      <c r="D69" s="183" t="n"/>
    </row>
    <row r="70" ht="15" customFormat="1" customHeight="1" s="8" thickBot="1">
      <c r="A70" s="414" t="n"/>
      <c r="B70" s="252" t="n"/>
      <c r="C70" s="252" t="n"/>
      <c r="D70" s="183" t="n"/>
      <c r="F70" s="199" t="n"/>
      <c r="H70" s="199" t="n"/>
      <c r="I70" s="199" t="n"/>
      <c r="J70" s="199" t="n"/>
      <c r="K70" s="199" t="n"/>
    </row>
    <row r="71" ht="15.75" customHeight="1" thickBot="1">
      <c r="A71" s="388" t="inlineStr">
        <is>
          <t xml:space="preserve">Side </t>
        </is>
      </c>
      <c r="B71" s="31" t="n"/>
      <c r="C71" s="207" t="n"/>
      <c r="D71" s="168" t="n"/>
      <c r="E71" s="168" t="n"/>
      <c r="F71" s="171" t="inlineStr">
        <is>
          <t>Pounds</t>
        </is>
      </c>
      <c r="G71" s="200" t="n"/>
      <c r="H71" s="387" t="inlineStr">
        <is>
          <t>Total</t>
        </is>
      </c>
      <c r="I71" s="422" t="n"/>
      <c r="J71" s="178" t="inlineStr">
        <is>
          <t>Usg/100</t>
        </is>
      </c>
      <c r="K71" s="176" t="inlineStr">
        <is>
          <t>#per1/2pan</t>
        </is>
      </c>
      <c r="L71" s="168" t="n"/>
    </row>
    <row r="72" ht="15.75" customHeight="1" thickBot="1">
      <c r="A72" s="366" t="inlineStr">
        <is>
          <t>Broccoli Salad</t>
        </is>
      </c>
      <c r="B72" s="177" t="n"/>
      <c r="C72" s="208" t="n">
        <v>2290</v>
      </c>
      <c r="D72" s="168" t="n"/>
      <c r="E72" s="168" t="n"/>
      <c r="F72" s="172">
        <f>C72/5</f>
        <v/>
      </c>
      <c r="G72" s="168" t="n"/>
      <c r="H72" s="449" t="inlineStr">
        <is>
          <t>BS</t>
        </is>
      </c>
      <c r="I72" s="175">
        <f>F78+F72</f>
        <v/>
      </c>
      <c r="J72" s="172">
        <f>I72/($C$3/100)</f>
        <v/>
      </c>
      <c r="K72" s="210" t="n">
        <v>5.63</v>
      </c>
      <c r="L72" s="168" t="n"/>
    </row>
    <row r="73" ht="15.75" customHeight="1" thickBot="1">
      <c r="A73" s="360" t="inlineStr">
        <is>
          <t>Fresh Fruit</t>
        </is>
      </c>
      <c r="B73" s="15" t="n"/>
      <c r="C73" s="209" t="n">
        <v>1051</v>
      </c>
      <c r="D73" s="168" t="n"/>
      <c r="E73" s="168" t="n"/>
      <c r="F73" s="172">
        <f>C73/3</f>
        <v/>
      </c>
      <c r="G73" s="168" t="n"/>
      <c r="H73" s="450" t="inlineStr">
        <is>
          <t>FF</t>
        </is>
      </c>
      <c r="I73" s="172">
        <f>F79+F73</f>
        <v/>
      </c>
      <c r="J73" s="172">
        <f>I73/($C$3/100)</f>
        <v/>
      </c>
      <c r="K73" s="211" t="n">
        <v>8.785</v>
      </c>
      <c r="L73" s="168" t="n"/>
    </row>
    <row r="74" ht="15.75" customHeight="1" thickBot="1">
      <c r="A74" s="360" t="inlineStr">
        <is>
          <t>Grape Salad</t>
        </is>
      </c>
      <c r="B74" s="15" t="n"/>
      <c r="C74" s="209" t="n">
        <v>1868</v>
      </c>
      <c r="D74" s="168" t="n"/>
      <c r="E74" s="168" t="n"/>
      <c r="F74" s="172">
        <f>C74/2.5</f>
        <v/>
      </c>
      <c r="G74" s="168" t="n"/>
      <c r="H74" s="450" t="inlineStr">
        <is>
          <t>GS</t>
        </is>
      </c>
      <c r="I74" s="172">
        <f>F80+F74</f>
        <v/>
      </c>
      <c r="J74" s="172">
        <f>I74/($C$3/100)</f>
        <v/>
      </c>
      <c r="K74" s="211" t="n">
        <v>8.25</v>
      </c>
      <c r="L74" s="168" t="n"/>
    </row>
    <row r="75" ht="15.75" customHeight="1" thickBot="1">
      <c r="A75" s="385" t="inlineStr">
        <is>
          <t>Pasta Salad</t>
        </is>
      </c>
      <c r="B75" s="30" t="n"/>
      <c r="C75" s="205" t="n">
        <v>1109</v>
      </c>
      <c r="D75" s="168" t="n"/>
      <c r="E75" s="168" t="n"/>
      <c r="F75" s="172">
        <f>C75/3</f>
        <v/>
      </c>
      <c r="G75" s="168" t="n"/>
      <c r="H75" s="450" t="inlineStr">
        <is>
          <t>PS</t>
        </is>
      </c>
      <c r="I75" s="172">
        <f>F81+F75</f>
        <v/>
      </c>
      <c r="J75" s="172">
        <f>I75/($C$3/100)</f>
        <v/>
      </c>
      <c r="K75" s="212" t="n">
        <v>6.79</v>
      </c>
      <c r="L75" s="168" t="n"/>
    </row>
    <row r="76" ht="15.75" customHeight="1" thickBot="1">
      <c r="A76" s="362" t="n"/>
      <c r="B76" s="362" t="n"/>
      <c r="D76" s="168" t="n"/>
      <c r="E76" s="168" t="n"/>
      <c r="F76" s="168" t="n"/>
      <c r="G76" s="168" t="n"/>
      <c r="H76" s="168" t="n"/>
      <c r="I76" s="451" t="n"/>
      <c r="J76" s="170" t="n"/>
      <c r="K76" s="170" t="n"/>
      <c r="L76" s="168" t="n"/>
    </row>
    <row r="77" ht="15.75" customHeight="1" thickBot="1">
      <c r="A77" s="388" t="inlineStr">
        <is>
          <t>Large Bowl</t>
        </is>
      </c>
      <c r="B77" s="31" t="n"/>
      <c r="C77" s="207" t="n"/>
      <c r="D77" s="168" t="n"/>
      <c r="E77" s="168" t="n"/>
      <c r="F77" s="171" t="inlineStr">
        <is>
          <t>Pounds</t>
        </is>
      </c>
      <c r="G77" s="167" t="n"/>
      <c r="L77" s="168" t="n"/>
    </row>
    <row r="78" ht="15.75" customHeight="1" thickBot="1">
      <c r="A78" s="366" t="inlineStr">
        <is>
          <t>Broccoli Salad</t>
        </is>
      </c>
      <c r="B78" s="177" t="n"/>
      <c r="C78" s="208" t="n">
        <v>111</v>
      </c>
      <c r="D78" s="168" t="n"/>
      <c r="E78" s="168" t="n"/>
      <c r="F78" s="172">
        <f>C78</f>
        <v/>
      </c>
      <c r="G78" s="168" t="n"/>
      <c r="L78" s="168" t="n"/>
    </row>
    <row r="79" ht="15.75" customHeight="1" thickBot="1">
      <c r="A79" s="360" t="inlineStr">
        <is>
          <t>Fresh Fruit</t>
        </is>
      </c>
      <c r="B79" s="15" t="n"/>
      <c r="C79" s="209" t="n">
        <v>7</v>
      </c>
      <c r="D79" s="168" t="n"/>
      <c r="E79" s="168" t="n"/>
      <c r="F79" s="172">
        <f>C79</f>
        <v/>
      </c>
      <c r="G79" s="185" t="n"/>
    </row>
    <row r="80" ht="15.75" customHeight="1" thickBot="1">
      <c r="A80" s="360" t="inlineStr">
        <is>
          <t>Grape Salad</t>
        </is>
      </c>
      <c r="B80" s="15" t="n"/>
      <c r="C80" s="209" t="n">
        <v>67</v>
      </c>
      <c r="D80" s="168" t="n"/>
      <c r="E80" s="168" t="n"/>
      <c r="F80" s="184">
        <f>C80</f>
        <v/>
      </c>
      <c r="G80" s="185" t="n"/>
    </row>
    <row r="81" ht="15.75" customHeight="1" thickBot="1">
      <c r="A81" s="385" t="inlineStr">
        <is>
          <t>Pasta Salad</t>
        </is>
      </c>
      <c r="B81" s="30" t="n"/>
      <c r="C81" s="205" t="n">
        <v>65</v>
      </c>
      <c r="D81" s="168" t="n"/>
      <c r="E81" s="206" t="n"/>
      <c r="F81" s="201">
        <f>C81</f>
        <v/>
      </c>
      <c r="G81" s="185" t="n"/>
    </row>
    <row r="82" ht="15.75" customHeight="1" thickBot="1">
      <c r="A82" s="362" t="n"/>
      <c r="B82" s="362" t="n"/>
      <c r="N82" s="168" t="n"/>
      <c r="O82" s="168" t="n"/>
      <c r="P82" s="168" t="n"/>
    </row>
    <row r="83" ht="15.75" customHeight="1" thickBot="1">
      <c r="A83" s="444" t="inlineStr">
        <is>
          <t>Salads (Lettuce Based)</t>
        </is>
      </c>
      <c r="B83" s="73" t="n"/>
      <c r="C83" s="180" t="n"/>
      <c r="F83" s="252" t="n"/>
      <c r="T83" s="168" t="n"/>
    </row>
    <row r="84" ht="15.75" customHeight="1" thickBot="1">
      <c r="A84" s="414" t="n"/>
      <c r="B84" s="252" t="n"/>
      <c r="C84" s="415" t="n"/>
      <c r="E84" s="29" t="n"/>
      <c r="F84" s="253" t="inlineStr">
        <is>
          <t>Usg/100</t>
        </is>
      </c>
      <c r="G84" s="253" t="inlineStr">
        <is>
          <t>Par</t>
        </is>
      </c>
    </row>
    <row r="85" ht="15.75" customHeight="1" thickBot="1">
      <c r="A85" s="366" t="inlineStr">
        <is>
          <t>Classic Salad</t>
        </is>
      </c>
      <c r="B85" s="177" t="n"/>
      <c r="C85" s="204" t="n">
        <v>259</v>
      </c>
      <c r="E85" s="29" t="n"/>
      <c r="F85" s="254">
        <f>C85/($C$3/100)</f>
        <v/>
      </c>
      <c r="G85" s="256">
        <f>ROUNDUP(('Production Guide'!$E$2/100)*F85,0)</f>
        <v/>
      </c>
    </row>
    <row r="86" ht="15.75" customHeight="1" thickBot="1">
      <c r="A86" s="385" t="inlineStr">
        <is>
          <t>Seasonal Salad</t>
        </is>
      </c>
      <c r="B86" s="30" t="n"/>
      <c r="C86" s="205" t="n">
        <v>277</v>
      </c>
      <c r="E86" s="29" t="n"/>
      <c r="F86" s="255">
        <f>C86/($C$3/100)</f>
        <v/>
      </c>
      <c r="G86" s="256">
        <f>ROUNDUP(('Production Guide'!$E$2/100)*F86,0)</f>
        <v/>
      </c>
    </row>
    <row r="87">
      <c r="F87" s="73" t="n"/>
    </row>
    <row r="88">
      <c r="A88" s="362" t="n"/>
      <c r="B88" s="362" t="n"/>
      <c r="N88" s="168" t="n"/>
      <c r="O88" s="168" t="n"/>
      <c r="P88" s="168" t="n"/>
    </row>
    <row r="89">
      <c r="Q89" s="451" t="n"/>
      <c r="R89" s="170" t="n"/>
      <c r="S89" s="170" t="n"/>
      <c r="T89" s="168" t="n"/>
      <c r="U89" s="168" t="n"/>
    </row>
    <row r="94">
      <c r="A94" s="362" t="n"/>
      <c r="B94" s="362" t="n"/>
      <c r="O94" s="166" t="n"/>
      <c r="P94" s="166" t="n"/>
    </row>
    <row r="95" hidden="1">
      <c r="O95" s="166" t="n"/>
      <c r="P95" s="166" t="n"/>
      <c r="Q95" s="166" t="n"/>
      <c r="R95" s="166" t="n"/>
      <c r="S95" s="452" t="n"/>
      <c r="T95" s="327" t="n"/>
      <c r="U95" s="327" t="n"/>
    </row>
    <row r="96" hidden="1">
      <c r="A96" s="17" t="inlineStr">
        <is>
          <t>Side Conversions</t>
        </is>
      </c>
      <c r="O96" s="166" t="n"/>
      <c r="P96" s="166" t="n"/>
      <c r="Q96" s="166" t="n"/>
      <c r="R96" s="166" t="n"/>
      <c r="S96" s="166" t="n"/>
    </row>
    <row r="97" hidden="1">
      <c r="A97" t="inlineStr">
        <is>
          <t>Broccoli Salad = 5 servings = 1 Lg Qc</t>
        </is>
      </c>
      <c r="O97" s="166" t="n"/>
      <c r="P97" s="166" t="n"/>
      <c r="Q97" s="166" t="n"/>
      <c r="R97" s="166" t="n"/>
      <c r="S97" s="166" t="n"/>
    </row>
    <row r="98" hidden="1">
      <c r="A98" t="inlineStr">
        <is>
          <t>Fresh Fruit = 3 servings = 1 Lg Qc</t>
        </is>
      </c>
      <c r="Q98" s="166" t="n"/>
      <c r="R98" s="166" t="n"/>
      <c r="S98" s="166" t="n"/>
    </row>
    <row r="99" hidden="1">
      <c r="A99" t="inlineStr">
        <is>
          <t>Grape Salad = 2.5 servings = 1 Lg Qc</t>
        </is>
      </c>
    </row>
    <row r="100" hidden="1">
      <c r="A100" t="inlineStr">
        <is>
          <t>Pasta Salad = 3 servings = 1 Lg Qc</t>
        </is>
      </c>
    </row>
    <row r="101" hidden="1"/>
    <row r="102" hidden="1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FiFIfqqg0UEcrSc85ePqdQ==" formatRows="1" sort="1" spinCount="100000" hashValue="AqehzCPyknlwlkzij0Rfo5j+ltYKrdL3Txk1vzuspWSc55CMDS6WdcoK5ND/NXmHpt3LEUTg5UX69SUsXTa+tw=="/>
  <mergeCells count="64">
    <mergeCell ref="A30:B30"/>
    <mergeCell ref="A24:B24"/>
    <mergeCell ref="A15:B15"/>
    <mergeCell ref="A64:B64"/>
    <mergeCell ref="G2:H2"/>
    <mergeCell ref="A73:B73"/>
    <mergeCell ref="A11:B11"/>
    <mergeCell ref="A51:B51"/>
    <mergeCell ref="A45:B45"/>
    <mergeCell ref="A36:B36"/>
    <mergeCell ref="A79:B79"/>
    <mergeCell ref="A83:C84"/>
    <mergeCell ref="A61:B61"/>
    <mergeCell ref="A78:B78"/>
    <mergeCell ref="A16:B16"/>
    <mergeCell ref="A65:B65"/>
    <mergeCell ref="A25:B25"/>
    <mergeCell ref="A41:B41"/>
    <mergeCell ref="A48:C49"/>
    <mergeCell ref="A46:B46"/>
    <mergeCell ref="A75:B75"/>
    <mergeCell ref="A37:B37"/>
    <mergeCell ref="A80:B80"/>
    <mergeCell ref="A74:B74"/>
    <mergeCell ref="A18:B18"/>
    <mergeCell ref="A27:B27"/>
    <mergeCell ref="A69:C70"/>
    <mergeCell ref="G3:H3"/>
    <mergeCell ref="C3:D4"/>
    <mergeCell ref="A12:B12"/>
    <mergeCell ref="A50:B50"/>
    <mergeCell ref="A26:B26"/>
    <mergeCell ref="A21:B21"/>
    <mergeCell ref="A86:B86"/>
    <mergeCell ref="C2:D2"/>
    <mergeCell ref="A77:B77"/>
    <mergeCell ref="A71:B71"/>
    <mergeCell ref="A33:B33"/>
    <mergeCell ref="A85:B85"/>
    <mergeCell ref="A42:B42"/>
    <mergeCell ref="A32:B32"/>
    <mergeCell ref="A14:B14"/>
    <mergeCell ref="A17:B17"/>
    <mergeCell ref="A23:B23"/>
    <mergeCell ref="A22:B22"/>
    <mergeCell ref="A35:B35"/>
    <mergeCell ref="G4:H4"/>
    <mergeCell ref="A20:B20"/>
    <mergeCell ref="A38:B38"/>
    <mergeCell ref="A72:B72"/>
    <mergeCell ref="A29:B29"/>
    <mergeCell ref="A81:B81"/>
    <mergeCell ref="A43:B43"/>
    <mergeCell ref="A19:B19"/>
    <mergeCell ref="A63:B63"/>
    <mergeCell ref="A10:B10"/>
    <mergeCell ref="H71:I71"/>
    <mergeCell ref="A8:C9"/>
    <mergeCell ref="A13:B13"/>
    <mergeCell ref="A44:B44"/>
    <mergeCell ref="A40:B40"/>
    <mergeCell ref="A31:B31"/>
    <mergeCell ref="A39:B39"/>
    <mergeCell ref="A34:B34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44"/>
  <sheetViews>
    <sheetView zoomScale="53" workbookViewId="0">
      <selection activeCell="I26" sqref="I26:K26"/>
    </sheetView>
  </sheetViews>
  <sheetFormatPr baseColWidth="8" defaultColWidth="8.85546875" defaultRowHeight="15"/>
  <cols>
    <col width="12.42578125" customWidth="1" min="24" max="24"/>
    <col width="8.42578125" customWidth="1" min="27" max="27"/>
    <col width="10" bestFit="1" customWidth="1" min="28" max="28"/>
    <col width="11.42578125" bestFit="1" customWidth="1" min="31" max="31"/>
  </cols>
  <sheetData>
    <row r="1" ht="15.75" customHeight="1" thickBot="1">
      <c r="G1" s="20" t="n"/>
      <c r="H1" s="20" t="n"/>
      <c r="I1" s="20" t="n"/>
      <c r="J1" s="20" t="n"/>
      <c r="Q1" s="325" t="inlineStr">
        <is>
          <t>Day After Tomorrow's Sales Forecast</t>
        </is>
      </c>
      <c r="X1" s="327" t="n"/>
    </row>
    <row r="2" ht="15.75" customHeight="1" thickBot="1">
      <c r="G2" s="20" t="n"/>
      <c r="H2" s="20" t="n"/>
      <c r="I2" s="20" t="n"/>
      <c r="J2" s="20" t="n"/>
      <c r="K2" s="453" t="n"/>
      <c r="Q2" s="75" t="n"/>
      <c r="R2" s="75" t="n"/>
      <c r="S2" s="75" t="n"/>
      <c r="T2" s="75" t="n"/>
      <c r="U2" s="75" t="n"/>
      <c r="V2" s="75" t="n"/>
      <c r="W2" s="75" t="n"/>
      <c r="X2" s="454">
        <f>'Production Guide'!R2</f>
        <v/>
      </c>
      <c r="Y2" s="328" t="n"/>
    </row>
    <row r="3">
      <c r="G3" s="349" t="n"/>
      <c r="H3" s="349" t="n"/>
      <c r="I3" s="349" t="n"/>
      <c r="X3" s="327" t="n"/>
    </row>
    <row r="4" ht="25.5" customHeight="1" thickBot="1">
      <c r="A4" s="297" t="inlineStr">
        <is>
          <t>Small Quick Chick</t>
        </is>
      </c>
      <c r="G4" s="297" t="inlineStr">
        <is>
          <t>Large Quick Chick</t>
        </is>
      </c>
      <c r="M4" s="329" t="inlineStr">
        <is>
          <t>Line- (Any mixed flavors not in Quick Chick)</t>
        </is>
      </c>
      <c r="N4" s="252" t="n"/>
      <c r="O4" s="252" t="n"/>
      <c r="P4" s="252" t="n"/>
      <c r="Q4" s="252" t="n"/>
      <c r="R4" s="252" t="n"/>
      <c r="T4" s="297" t="inlineStr">
        <is>
          <t>Totals</t>
        </is>
      </c>
    </row>
    <row r="5">
      <c r="A5" s="278" t="inlineStr">
        <is>
          <t>Flavor</t>
        </is>
      </c>
      <c r="B5" s="416" t="n"/>
      <c r="C5" s="155" t="inlineStr">
        <is>
          <t>Par</t>
        </is>
      </c>
      <c r="D5" s="155" t="inlineStr">
        <is>
          <t>On Hand</t>
        </is>
      </c>
      <c r="E5" s="19" t="inlineStr">
        <is>
          <t>#s to Prep</t>
        </is>
      </c>
      <c r="G5" s="278" t="inlineStr">
        <is>
          <t>Flavor</t>
        </is>
      </c>
      <c r="H5" s="416" t="n"/>
      <c r="I5" s="155" t="inlineStr">
        <is>
          <t>Par</t>
        </is>
      </c>
      <c r="J5" s="155" t="inlineStr">
        <is>
          <t>On Hand</t>
        </is>
      </c>
      <c r="K5" s="19" t="inlineStr">
        <is>
          <t>#s to Prep</t>
        </is>
      </c>
      <c r="M5" s="301" t="inlineStr">
        <is>
          <t>Flavor</t>
        </is>
      </c>
      <c r="N5" s="416" t="n"/>
      <c r="O5" s="155" t="inlineStr">
        <is>
          <t>Par</t>
        </is>
      </c>
      <c r="P5" s="155" t="inlineStr">
        <is>
          <t>On Hand</t>
        </is>
      </c>
      <c r="Q5" s="279" t="inlineStr">
        <is>
          <t>#s to Prep</t>
        </is>
      </c>
      <c r="R5" s="416" t="n"/>
      <c r="T5" s="301" t="inlineStr">
        <is>
          <t>Flavor</t>
        </is>
      </c>
      <c r="U5" s="416" t="n"/>
      <c r="V5" s="155" t="inlineStr">
        <is>
          <t>Par</t>
        </is>
      </c>
      <c r="W5" s="155" t="inlineStr">
        <is>
          <t>On Hand</t>
        </is>
      </c>
      <c r="X5" s="279" t="inlineStr">
        <is>
          <t>#s to Prep</t>
        </is>
      </c>
      <c r="Y5" s="416" t="n"/>
      <c r="AD5" t="inlineStr">
        <is>
          <t>Broccoli Lexans</t>
        </is>
      </c>
      <c r="AE5" s="18">
        <f>(((($X$2*1.35)/100)*('All Data'!J72/2))/'All Data'!K72)</f>
        <v/>
      </c>
      <c r="AF5" s="18">
        <f>ROUNDUP(AE5,0)</f>
        <v/>
      </c>
    </row>
    <row r="6">
      <c r="A6" s="285" t="inlineStr">
        <is>
          <t>Barbie Q</t>
        </is>
      </c>
      <c r="B6" s="15" t="n"/>
      <c r="C6" s="298">
        <f>ROUNDUP(((($X$2*1.35)/100)*'All Data'!I11),0)</f>
        <v/>
      </c>
      <c r="D6" s="239" t="n"/>
      <c r="E6" s="298">
        <f>IF('All Data'!I30&lt;0,0,'All Data'!J11)</f>
        <v/>
      </c>
      <c r="G6" s="285" t="inlineStr">
        <is>
          <t>Barbie Q</t>
        </is>
      </c>
      <c r="H6" s="15" t="n"/>
      <c r="I6" s="285">
        <f>ROUNDUP(((($X$2*1.35)/100)*'All Data'!H30),0)</f>
        <v/>
      </c>
      <c r="J6" s="161" t="n"/>
      <c r="K6" s="315">
        <f>IF('All Data'!I30&lt;0,0,'All Data'!I30)</f>
        <v/>
      </c>
      <c r="M6" s="285" t="inlineStr">
        <is>
          <t>Barbie Q</t>
        </is>
      </c>
      <c r="N6" s="15" t="n"/>
      <c r="O6" s="315">
        <f>ROUNDUP(((($X$2*1.35)/100)*'All Data'!I51),0)+AA12</f>
        <v/>
      </c>
      <c r="P6" s="161" t="n"/>
      <c r="Q6" s="298">
        <f>IF('All Data'!J51&lt;0,0,'All Data'!J51)</f>
        <v/>
      </c>
      <c r="R6" s="15" t="n"/>
      <c r="T6" s="285" t="inlineStr">
        <is>
          <t>Barbie Q</t>
        </is>
      </c>
      <c r="U6" s="15" t="n"/>
      <c r="V6" s="7">
        <f>(C6*0.5)+I6+O6</f>
        <v/>
      </c>
      <c r="W6" s="298">
        <f>(D6*0.5)+J6+P6</f>
        <v/>
      </c>
      <c r="X6" s="398">
        <f>IF((V6-W6)&lt;0,0,(V6-W6))</f>
        <v/>
      </c>
      <c r="Y6" s="15" t="n"/>
      <c r="AD6" t="inlineStr">
        <is>
          <t>Wet Grapes</t>
        </is>
      </c>
      <c r="AE6" s="18">
        <f>(((($X$2*1.35)/100)*'All Data'!J73)/'All Data'!K73)</f>
        <v/>
      </c>
      <c r="AF6" s="443">
        <f>ROUNDUP(AE6,0)</f>
        <v/>
      </c>
    </row>
    <row r="7">
      <c r="A7" s="285" t="inlineStr">
        <is>
          <t>Buffalo Barclay</t>
        </is>
      </c>
      <c r="B7" s="15" t="n"/>
      <c r="C7" s="298">
        <f>ROUNDUP(((($X$2*1.35)/100)*'All Data'!I12),0)</f>
        <v/>
      </c>
      <c r="D7" s="239" t="n"/>
      <c r="E7" s="298">
        <f>IF('All Data'!I31&lt;0,0,'All Data'!J12)</f>
        <v/>
      </c>
      <c r="G7" s="285" t="inlineStr">
        <is>
          <t>Buffalo Barclay</t>
        </is>
      </c>
      <c r="H7" s="15" t="n"/>
      <c r="I7" s="285">
        <f>ROUNDUP(((($X$2*1.35)/100)*'All Data'!H31),0)</f>
        <v/>
      </c>
      <c r="J7" s="4" t="n"/>
      <c r="K7" s="315">
        <f>IF('All Data'!I31&lt;0,0,'All Data'!I31)</f>
        <v/>
      </c>
      <c r="M7" s="285" t="inlineStr">
        <is>
          <t>Buffalo Barclay</t>
        </is>
      </c>
      <c r="N7" s="15" t="n"/>
      <c r="O7" s="315">
        <f>ROUNDUP(((($X$2*1.35)/100)*'All Data'!I52),0)+AA13</f>
        <v/>
      </c>
      <c r="P7" s="5" t="n"/>
      <c r="Q7" s="298">
        <f>IF('All Data'!J52&lt;0,0,'All Data'!J52)</f>
        <v/>
      </c>
      <c r="R7" s="15" t="n"/>
      <c r="T7" s="285" t="inlineStr">
        <is>
          <t>Buffalo Barclay</t>
        </is>
      </c>
      <c r="U7" s="15" t="n"/>
      <c r="V7" s="7">
        <f>(C7*0.5)+I7+O7</f>
        <v/>
      </c>
      <c r="W7" s="298">
        <f>(D7*0.5)+J7+P7</f>
        <v/>
      </c>
      <c r="X7" s="398">
        <f>IF((V7-W7)&lt;0,0,(V7-W7))</f>
        <v/>
      </c>
      <c r="Y7" s="15" t="n"/>
      <c r="AD7" t="inlineStr">
        <is>
          <t>Dry Grapes</t>
        </is>
      </c>
      <c r="AE7" s="18">
        <f>(((($X$2*1.35)/100)*('All Data'!J74/1.75))/'All Data'!K74)</f>
        <v/>
      </c>
      <c r="AF7" s="443">
        <f>ROUNDUP(AE7,0)</f>
        <v/>
      </c>
    </row>
    <row r="8">
      <c r="A8" s="285" t="inlineStr">
        <is>
          <t>Classic Carol</t>
        </is>
      </c>
      <c r="B8" s="15" t="n"/>
      <c r="C8" s="298">
        <f>ROUNDUP(((($X$2*1.35)/100)*'All Data'!I13),0)</f>
        <v/>
      </c>
      <c r="D8" s="239" t="n"/>
      <c r="E8" s="298">
        <f>IF('All Data'!I32&lt;0,0,'All Data'!J13)</f>
        <v/>
      </c>
      <c r="G8" s="285" t="inlineStr">
        <is>
          <t>Classic Carol</t>
        </is>
      </c>
      <c r="H8" s="15" t="n"/>
      <c r="I8" s="307">
        <f>ROUNDUP(((($X$2*1.35)/100)*'All Data'!H32),0)</f>
        <v/>
      </c>
      <c r="J8" s="4" t="n"/>
      <c r="K8" s="3">
        <f>IF('All Data'!I32&lt;0,0,'All Data'!I32)</f>
        <v/>
      </c>
      <c r="M8" s="285" t="inlineStr">
        <is>
          <t>Classic Carol</t>
        </is>
      </c>
      <c r="N8" s="15" t="n"/>
      <c r="O8" s="3">
        <f>ROUNDUP(((($X$2*1.35)/100)*'All Data'!I53),0)</f>
        <v/>
      </c>
      <c r="P8" s="5" t="n"/>
      <c r="Q8" s="399">
        <f>IF('All Data'!J53&lt;0,0,'All Data'!J53)</f>
        <v/>
      </c>
      <c r="R8" s="177" t="n"/>
      <c r="T8" s="285" t="inlineStr">
        <is>
          <t>Classic Carol</t>
        </is>
      </c>
      <c r="U8" s="15" t="n"/>
      <c r="V8" s="7">
        <f>(C8*0.5)+I8+O8</f>
        <v/>
      </c>
      <c r="W8" s="298">
        <f>(D8*0.5)+J8+P8</f>
        <v/>
      </c>
      <c r="X8" s="400">
        <f>IF((V8-W8)&lt;0,0,(V8-W8))</f>
        <v/>
      </c>
      <c r="Y8" s="177" t="n"/>
      <c r="AD8" t="inlineStr">
        <is>
          <t>Pasta Salad</t>
        </is>
      </c>
      <c r="AE8" s="18">
        <f>(((($X$2*1.35)/100)*('All Data'!J75/2.5))/'All Data'!K75)</f>
        <v/>
      </c>
      <c r="AF8" s="443">
        <f>ROUNDUP(AE8,0)</f>
        <v/>
      </c>
    </row>
    <row r="9">
      <c r="A9" s="285" t="inlineStr">
        <is>
          <t>Cranberry Kelli</t>
        </is>
      </c>
      <c r="B9" s="15" t="n"/>
      <c r="C9" s="298">
        <f>ROUNDUP(((($X$2*1.35)/100)*'All Data'!I14),0)</f>
        <v/>
      </c>
      <c r="D9" s="239" t="n"/>
      <c r="E9" s="298">
        <f>IF('All Data'!I33&lt;0,0,'All Data'!J14)</f>
        <v/>
      </c>
      <c r="G9" s="285" t="inlineStr">
        <is>
          <t>Cranberry Kelli</t>
        </is>
      </c>
      <c r="H9" s="15" t="n"/>
      <c r="I9" s="307">
        <f>ROUNDUP(((($X$2*1.35)/100)*'All Data'!H33),0)</f>
        <v/>
      </c>
      <c r="J9" s="4" t="n"/>
      <c r="K9" s="3">
        <f>IF('All Data'!I33&lt;0,0,'All Data'!I33)</f>
        <v/>
      </c>
      <c r="M9" s="285" t="inlineStr">
        <is>
          <t>Cranberry Kelli</t>
        </is>
      </c>
      <c r="N9" s="15" t="n"/>
      <c r="O9" s="3">
        <f>ROUNDUP(((($X$2*1.35)/100)*'All Data'!I54),0)</f>
        <v/>
      </c>
      <c r="P9" s="5" t="n"/>
      <c r="Q9" s="399">
        <f>IF('All Data'!J54&lt;0,0,'All Data'!J54)</f>
        <v/>
      </c>
      <c r="R9" s="177" t="n"/>
      <c r="T9" s="285" t="inlineStr">
        <is>
          <t>Cranberry Kelli</t>
        </is>
      </c>
      <c r="U9" s="15" t="n"/>
      <c r="V9" s="7">
        <f>(C9*0.5)+I9+O9</f>
        <v/>
      </c>
      <c r="W9" s="298">
        <f>(D9*0.5)+J9+P9</f>
        <v/>
      </c>
      <c r="X9" s="400">
        <f>IF((V9-W9)&lt;0,0,(V9-W9))</f>
        <v/>
      </c>
      <c r="Y9" s="177" t="n"/>
      <c r="AD9" t="inlineStr">
        <is>
          <t>GS Dressing</t>
        </is>
      </c>
      <c r="AE9" s="18">
        <f>AE7*0.5</f>
        <v/>
      </c>
      <c r="AF9" s="443">
        <f>ROUNDUP(AE9,0)</f>
        <v/>
      </c>
    </row>
    <row r="10">
      <c r="A10" s="285" t="inlineStr">
        <is>
          <t>Dixie Chick</t>
        </is>
      </c>
      <c r="B10" s="15" t="n"/>
      <c r="C10" s="298">
        <f>ROUNDUP(((($X$2*1.35)/100)*'All Data'!I15),0)</f>
        <v/>
      </c>
      <c r="D10" s="239" t="n"/>
      <c r="E10" s="298">
        <f>IF('All Data'!I34&lt;0,0,'All Data'!J15)</f>
        <v/>
      </c>
      <c r="G10" s="285" t="inlineStr">
        <is>
          <t>Dixie Chick</t>
        </is>
      </c>
      <c r="H10" s="15" t="n"/>
      <c r="I10" s="307">
        <f>ROUNDUP(((($X$2*1.35)/100)*'All Data'!H34),0)</f>
        <v/>
      </c>
      <c r="J10" s="4" t="n"/>
      <c r="K10" s="3">
        <f>IF('All Data'!I34&lt;0,0,'All Data'!I34)</f>
        <v/>
      </c>
      <c r="M10" s="285" t="inlineStr">
        <is>
          <t>Dixie Chick</t>
        </is>
      </c>
      <c r="N10" s="15" t="n"/>
      <c r="O10" s="3">
        <f>ROUNDUP(((($X$2*1.35)/100)*'All Data'!I55),0)</f>
        <v/>
      </c>
      <c r="P10" s="5" t="n"/>
      <c r="Q10" s="399">
        <f>IF('All Data'!J55&lt;0,0,'All Data'!J55)</f>
        <v/>
      </c>
      <c r="R10" s="177" t="n"/>
      <c r="T10" s="285" t="inlineStr">
        <is>
          <t>Dixie Chick</t>
        </is>
      </c>
      <c r="U10" s="15" t="n"/>
      <c r="V10" s="7">
        <f>(C10*0.5)+I10+O10</f>
        <v/>
      </c>
      <c r="W10" s="298">
        <f>(D10*0.5)+J10+P10</f>
        <v/>
      </c>
      <c r="X10" s="400">
        <f>IF((V10-W10)&lt;0,0,(V10-W10))</f>
        <v/>
      </c>
      <c r="Y10" s="177" t="n"/>
    </row>
    <row r="11">
      <c r="A11" s="285" t="inlineStr">
        <is>
          <t>Fancy Nancy</t>
        </is>
      </c>
      <c r="B11" s="15" t="n"/>
      <c r="C11" s="298">
        <f>ROUNDUP(((($X$2*1.35)/100)*'All Data'!I16),0)</f>
        <v/>
      </c>
      <c r="D11" s="239" t="n"/>
      <c r="E11" s="298">
        <f>IF('All Data'!I35&lt;0,0,'All Data'!J16)</f>
        <v/>
      </c>
      <c r="G11" s="285" t="inlineStr">
        <is>
          <t>Fancy Nancy</t>
        </is>
      </c>
      <c r="H11" s="15" t="n"/>
      <c r="I11" s="307">
        <f>ROUNDUP(((($X$2*1.35)/100)*'All Data'!H35),0)</f>
        <v/>
      </c>
      <c r="J11" s="4" t="n"/>
      <c r="K11" s="3">
        <f>IF('All Data'!I35&lt;0,0,'All Data'!I35)</f>
        <v/>
      </c>
      <c r="M11" s="285" t="inlineStr">
        <is>
          <t>Fancy Nancy</t>
        </is>
      </c>
      <c r="N11" s="15" t="n"/>
      <c r="O11" s="3">
        <f>ROUNDUP(((($X$2*1.35)/100)*'All Data'!I56),0)</f>
        <v/>
      </c>
      <c r="P11" s="5" t="n"/>
      <c r="Q11" s="399">
        <f>IF('All Data'!J56&lt;0,0,'All Data'!J56)</f>
        <v/>
      </c>
      <c r="R11" s="177" t="n"/>
      <c r="T11" s="285" t="inlineStr">
        <is>
          <t>Fancy Nancy</t>
        </is>
      </c>
      <c r="U11" s="15" t="n"/>
      <c r="V11" s="7">
        <f>(C11*0.5)+I11+O11</f>
        <v/>
      </c>
      <c r="W11" s="298">
        <f>(D11*0.5)+J11+P11</f>
        <v/>
      </c>
      <c r="X11" s="400">
        <f>IF((V11-W11)&lt;0,0,(V11-W11))</f>
        <v/>
      </c>
      <c r="Y11" s="177" t="n"/>
    </row>
    <row r="12">
      <c r="A12" s="285" t="inlineStr">
        <is>
          <t>Fruity Fran</t>
        </is>
      </c>
      <c r="B12" s="15" t="n"/>
      <c r="C12" s="298">
        <f>ROUNDUP(((($X$2*1.35)/100)*'All Data'!I17),0)</f>
        <v/>
      </c>
      <c r="D12" s="239" t="n"/>
      <c r="E12" s="298">
        <f>IF('All Data'!I36&lt;0,0,'All Data'!J17)</f>
        <v/>
      </c>
      <c r="G12" s="285" t="inlineStr">
        <is>
          <t>Fruity Fran</t>
        </is>
      </c>
      <c r="H12" s="15" t="n"/>
      <c r="I12" s="307">
        <f>ROUNDUP(((($X$2*1.35)/100)*'All Data'!H36),0)</f>
        <v/>
      </c>
      <c r="J12" s="4" t="n"/>
      <c r="K12" s="3">
        <f>IF('All Data'!I36&lt;0,0,'All Data'!I36)</f>
        <v/>
      </c>
      <c r="M12" s="285" t="inlineStr">
        <is>
          <t>Fruity Fran</t>
        </is>
      </c>
      <c r="N12" s="15" t="n"/>
      <c r="O12" s="3">
        <f>ROUNDUP(((($X$2*1.35)/100)*'All Data'!I57),0)</f>
        <v/>
      </c>
      <c r="P12" s="5" t="n"/>
      <c r="Q12" s="399">
        <f>IF('All Data'!J57&lt;0,0,'All Data'!J57)</f>
        <v/>
      </c>
      <c r="R12" s="177" t="n"/>
      <c r="T12" s="285" t="inlineStr">
        <is>
          <t>Fruity Fran</t>
        </is>
      </c>
      <c r="U12" s="15" t="n"/>
      <c r="V12" s="7">
        <f>(C12*0.5)+I12+O12</f>
        <v/>
      </c>
      <c r="W12" s="298">
        <f>(D12*0.5)+J12+P12</f>
        <v/>
      </c>
      <c r="X12" s="400">
        <f>IF((V12-W12)&lt;0,0,(V12-W12))</f>
        <v/>
      </c>
      <c r="Y12" s="177" t="n"/>
    </row>
    <row r="13">
      <c r="A13" s="285" t="inlineStr">
        <is>
          <t>Jalapeño Holly</t>
        </is>
      </c>
      <c r="B13" s="15" t="n"/>
      <c r="C13" s="298">
        <f>ROUNDUP(((($X$2*1.35)/100)*'All Data'!I18),0)</f>
        <v/>
      </c>
      <c r="D13" s="239" t="n"/>
      <c r="E13" s="298">
        <f>IF('All Data'!I37&lt;0,0,'All Data'!J18)</f>
        <v/>
      </c>
      <c r="G13" s="285" t="inlineStr">
        <is>
          <t>Jalapeño Holly</t>
        </is>
      </c>
      <c r="H13" s="15" t="n"/>
      <c r="I13" s="307">
        <f>ROUNDUP(((($X$2*1.35)/100)*'All Data'!H37),0)</f>
        <v/>
      </c>
      <c r="J13" s="4" t="n"/>
      <c r="K13" s="3">
        <f>IF('All Data'!I37&lt;0,0,'All Data'!I37)</f>
        <v/>
      </c>
      <c r="M13" s="285" t="inlineStr">
        <is>
          <t>Jalapeño Holly</t>
        </is>
      </c>
      <c r="N13" s="15" t="n"/>
      <c r="O13" s="3">
        <f>ROUNDUP(((($X$2*1.35)/100)*'All Data'!I58),0)+AA13</f>
        <v/>
      </c>
      <c r="P13" s="5" t="n"/>
      <c r="Q13" s="310">
        <f>IF('All Data'!J58&lt;0,0,'All Data'!J58)</f>
        <v/>
      </c>
      <c r="R13" s="177" t="n"/>
      <c r="T13" s="285" t="inlineStr">
        <is>
          <t>Jalapeño Holly</t>
        </is>
      </c>
      <c r="U13" s="15" t="n"/>
      <c r="V13" s="7">
        <f>(C13*0.5)+I13+O13</f>
        <v/>
      </c>
      <c r="W13" s="298">
        <f>(D13*0.5)+J13+P13</f>
        <v/>
      </c>
      <c r="X13" s="400">
        <f>IF((V13-W13)&lt;0,0,(V13-W13))</f>
        <v/>
      </c>
      <c r="Y13" s="177" t="n"/>
      <c r="AA13">
        <f>'Production Guide'!K48</f>
        <v/>
      </c>
    </row>
    <row r="14">
      <c r="A14" s="285" t="inlineStr">
        <is>
          <t>Kickin Kay Lynne</t>
        </is>
      </c>
      <c r="B14" s="15" t="n"/>
      <c r="C14" s="298">
        <f>ROUNDUP(((($X$2*1.35)/100)*'All Data'!I19),0)</f>
        <v/>
      </c>
      <c r="D14" s="239" t="n"/>
      <c r="E14" s="298">
        <f>IF('All Data'!I38&lt;0,0,'All Data'!J19)</f>
        <v/>
      </c>
      <c r="G14" s="285" t="inlineStr">
        <is>
          <t>Kickin Kay Lynne</t>
        </is>
      </c>
      <c r="H14" s="15" t="n"/>
      <c r="I14" s="307">
        <f>ROUNDUP(((($X$2*1.35)/100)*'All Data'!H38),0)</f>
        <v/>
      </c>
      <c r="J14" s="4" t="n"/>
      <c r="K14" s="3">
        <f>IF('All Data'!I38&lt;0,0,'All Data'!I38)</f>
        <v/>
      </c>
      <c r="M14" s="285" t="inlineStr">
        <is>
          <t>Kickin Kay Lynne</t>
        </is>
      </c>
      <c r="N14" s="15" t="n"/>
      <c r="O14" s="3">
        <f>ROUNDUP(((($X$2*1.35)/100)*'All Data'!I59),0)</f>
        <v/>
      </c>
      <c r="P14" s="5" t="n"/>
      <c r="Q14" s="399">
        <f>IF('All Data'!J59&lt;0,0,'All Data'!J59)</f>
        <v/>
      </c>
      <c r="R14" s="177" t="n"/>
      <c r="T14" s="285" t="inlineStr">
        <is>
          <t>Kickin Kay Lynne</t>
        </is>
      </c>
      <c r="U14" s="15" t="n"/>
      <c r="V14" s="7">
        <f>(C14*0.5)+I14+O14</f>
        <v/>
      </c>
      <c r="W14" s="298">
        <f>(D14*0.5)+J14+P14</f>
        <v/>
      </c>
      <c r="X14" s="400">
        <f>IF((V14-W14)&lt;0,0,(V14-W14))</f>
        <v/>
      </c>
      <c r="Y14" s="177" t="n"/>
    </row>
    <row r="15">
      <c r="A15" s="285" t="inlineStr">
        <is>
          <t>Lauryn's L. Basil</t>
        </is>
      </c>
      <c r="B15" s="15" t="n"/>
      <c r="C15" s="298">
        <f>ROUNDUP(((($X$2*1.35)/100)*'All Data'!I20),0)</f>
        <v/>
      </c>
      <c r="D15" s="239" t="n"/>
      <c r="E15" s="298">
        <f>IF('All Data'!I39&lt;0,0,'All Data'!J20)</f>
        <v/>
      </c>
      <c r="G15" s="285" t="inlineStr">
        <is>
          <t>Lauryn's L. Basil</t>
        </is>
      </c>
      <c r="H15" s="15" t="n"/>
      <c r="I15" s="307">
        <f>ROUNDUP(((($X$2*1.35)/100)*'All Data'!H39),0)</f>
        <v/>
      </c>
      <c r="J15" s="4" t="n"/>
      <c r="K15" s="3">
        <f>IF('All Data'!I39&lt;0,0,'All Data'!I39)</f>
        <v/>
      </c>
      <c r="M15" s="285" t="inlineStr">
        <is>
          <t>Lauryn's L. Basil</t>
        </is>
      </c>
      <c r="N15" s="15" t="n"/>
      <c r="O15" s="3">
        <f>ROUNDUP(((($X$2*1.35)/100)*'All Data'!I60),0)</f>
        <v/>
      </c>
      <c r="P15" s="5" t="n"/>
      <c r="Q15" s="399">
        <f>IF('All Data'!J60&lt;0,0,'All Data'!J60)</f>
        <v/>
      </c>
      <c r="R15" s="177" t="n"/>
      <c r="T15" s="285" t="inlineStr">
        <is>
          <t>Lauryn's L. Basil</t>
        </is>
      </c>
      <c r="U15" s="15" t="n"/>
      <c r="V15" s="7">
        <f>(C15*0.5)+I15+O15</f>
        <v/>
      </c>
      <c r="W15" s="298">
        <f>(D15*0.5)+J15+P15</f>
        <v/>
      </c>
      <c r="X15" s="400">
        <f>IF((V15-W15)&lt;0,0,(V15-W15))</f>
        <v/>
      </c>
      <c r="Y15" s="177" t="n"/>
    </row>
    <row r="16">
      <c r="A16" s="285" t="inlineStr">
        <is>
          <t>Local Flavor</t>
        </is>
      </c>
      <c r="B16" s="15" t="n"/>
      <c r="C16" s="298">
        <f>ROUNDUP(((($X$2*1.35)/100)*'All Data'!I21),0)</f>
        <v/>
      </c>
      <c r="D16" s="239" t="n"/>
      <c r="E16" s="298">
        <f>IF('All Data'!I40&lt;0,0,'All Data'!J21)</f>
        <v/>
      </c>
      <c r="G16" s="285" t="inlineStr">
        <is>
          <t>Local Flavor</t>
        </is>
      </c>
      <c r="H16" s="15" t="n"/>
      <c r="I16" s="307">
        <f>ROUNDUP(((($X$2*1.35)/100)*'All Data'!H40),0)</f>
        <v/>
      </c>
      <c r="J16" s="4" t="n"/>
      <c r="K16" s="3">
        <f>IF('All Data'!I40&lt;0,0,'All Data'!I40)</f>
        <v/>
      </c>
      <c r="M16" s="285" t="inlineStr">
        <is>
          <t>Local Flavor</t>
        </is>
      </c>
      <c r="N16" s="15" t="n"/>
      <c r="O16" s="3">
        <f>ROUNDUP(((($X$2*1.35)/100)*'All Data'!I61),0)</f>
        <v/>
      </c>
      <c r="P16" s="5" t="n"/>
      <c r="Q16" s="399">
        <f>IF('All Data'!J61&lt;0,0,'All Data'!J61)</f>
        <v/>
      </c>
      <c r="R16" s="177" t="n"/>
      <c r="T16" s="285" t="inlineStr">
        <is>
          <t>Local Flavor</t>
        </is>
      </c>
      <c r="U16" s="15" t="n"/>
      <c r="V16" s="7">
        <f>(C16*0.5)+I16+O16</f>
        <v/>
      </c>
      <c r="W16" s="298">
        <f>(D16*0.5)+J16+P16</f>
        <v/>
      </c>
      <c r="X16" s="400">
        <f>IF((V16-W16)&lt;0,0,(V16-W16))</f>
        <v/>
      </c>
      <c r="Y16" s="177" t="n"/>
    </row>
    <row r="17">
      <c r="A17" s="285" t="inlineStr">
        <is>
          <t>Olivia's Old South</t>
        </is>
      </c>
      <c r="B17" s="15" t="n"/>
      <c r="C17" s="298">
        <f>ROUNDUP(((($X$2*1.35)/100)*'All Data'!I22),0)</f>
        <v/>
      </c>
      <c r="D17" s="239" t="n"/>
      <c r="E17" s="298">
        <f>IF('All Data'!I41&lt;0,0,'All Data'!J22)</f>
        <v/>
      </c>
      <c r="G17" s="285" t="inlineStr">
        <is>
          <t>Olivia's Old South</t>
        </is>
      </c>
      <c r="H17" s="15" t="n"/>
      <c r="I17" s="307">
        <f>ROUNDUP(((($X$2*1.35)/100)*'All Data'!H41),0)</f>
        <v/>
      </c>
      <c r="J17" s="4" t="n"/>
      <c r="K17" s="3">
        <f>IF('All Data'!I41&lt;0,0,'All Data'!I41)</f>
        <v/>
      </c>
      <c r="M17" s="285" t="inlineStr">
        <is>
          <t>Olivia's Old South</t>
        </is>
      </c>
      <c r="N17" s="15" t="n"/>
      <c r="O17" s="3">
        <f>ROUNDUP(((($X$2*1.35)/100)*'All Data'!I62),0)</f>
        <v/>
      </c>
      <c r="P17" s="5" t="n"/>
      <c r="Q17" s="310">
        <f>IF('All Data'!J62&lt;0,0,'All Data'!J62)</f>
        <v/>
      </c>
      <c r="R17" s="177" t="n"/>
      <c r="T17" s="285" t="inlineStr">
        <is>
          <t>Olivia's Old South</t>
        </is>
      </c>
      <c r="U17" s="15" t="n"/>
      <c r="V17" s="7">
        <f>(C17*0.5)+I17+O17</f>
        <v/>
      </c>
      <c r="W17" s="298">
        <f>(D17*0.5)+J17+P17</f>
        <v/>
      </c>
      <c r="X17" s="400">
        <f>IF((V17-W17)&lt;0,0,(V17-W17))</f>
        <v/>
      </c>
      <c r="Y17" s="177" t="n"/>
    </row>
    <row r="18">
      <c r="A18" s="285" t="inlineStr">
        <is>
          <t>Sassy Scotty</t>
        </is>
      </c>
      <c r="B18" s="15" t="n"/>
      <c r="C18" s="298">
        <f>ROUNDUP(((($X$2*1.35)/100)*'All Data'!I23),0)</f>
        <v/>
      </c>
      <c r="D18" s="239" t="n"/>
      <c r="E18" s="298">
        <f>IF('All Data'!I42&lt;0,0,'All Data'!J23)</f>
        <v/>
      </c>
      <c r="G18" s="285" t="inlineStr">
        <is>
          <t>Sassy Scotty</t>
        </is>
      </c>
      <c r="H18" s="15" t="n"/>
      <c r="I18" s="307">
        <f>ROUNDUP(((($X$2*1.35)/100)*'All Data'!H42),0)</f>
        <v/>
      </c>
      <c r="J18" s="4" t="n"/>
      <c r="K18" s="3">
        <f>IF('All Data'!I42&lt;0,0,'All Data'!I42)</f>
        <v/>
      </c>
      <c r="M18" s="285" t="inlineStr">
        <is>
          <t>Sassy Scotty</t>
        </is>
      </c>
      <c r="N18" s="15" t="n"/>
      <c r="O18" s="3">
        <f>ROUNDUP(((($X$2*1.35)/100)*'All Data'!I63),0)+AA13</f>
        <v/>
      </c>
      <c r="P18" s="5" t="n"/>
      <c r="Q18" s="310">
        <f>IF('All Data'!J63&lt;0,0,'All Data'!J63)</f>
        <v/>
      </c>
      <c r="R18" s="177" t="n"/>
      <c r="T18" s="285" t="inlineStr">
        <is>
          <t>Sassy Scotty</t>
        </is>
      </c>
      <c r="U18" s="15" t="n"/>
      <c r="V18" s="7">
        <f>(C18*0.5)+I18+O18</f>
        <v/>
      </c>
      <c r="W18" s="298">
        <f>(D18*0.5)+J18+P18</f>
        <v/>
      </c>
      <c r="X18" s="400">
        <f>IF((V18-W18)&lt;0,0,(V18-W18))</f>
        <v/>
      </c>
      <c r="Y18" s="177" t="n"/>
    </row>
    <row r="19">
      <c r="A19" s="285" t="inlineStr">
        <is>
          <t>LTO</t>
        </is>
      </c>
      <c r="B19" s="15" t="n"/>
      <c r="C19" s="298">
        <f>ROUNDUP(((($X$2*1.35)/100)*'All Data'!I24),0)</f>
        <v/>
      </c>
      <c r="D19" s="239" t="n"/>
      <c r="E19" s="298">
        <f>IF('All Data'!I43&lt;0,0,'All Data'!J24)</f>
        <v/>
      </c>
      <c r="G19" s="285" t="inlineStr">
        <is>
          <t>LTO</t>
        </is>
      </c>
      <c r="H19" s="15" t="n"/>
      <c r="I19" s="307">
        <f>ROUNDUP(((($X$2*1.35)/100)*'All Data'!H43),0)</f>
        <v/>
      </c>
      <c r="J19" s="4" t="n"/>
      <c r="K19" s="3">
        <f>IF('All Data'!I43&lt;0,0,'All Data'!I43)</f>
        <v/>
      </c>
      <c r="M19" s="285" t="inlineStr">
        <is>
          <t>LTO</t>
        </is>
      </c>
      <c r="N19" s="15" t="n"/>
      <c r="O19" s="3">
        <f>ROUNDUP(((($X$2*1.35)/100)*'All Data'!I64),0)</f>
        <v/>
      </c>
      <c r="P19" s="5" t="n"/>
      <c r="Q19" s="310">
        <f>IF('All Data'!J64&lt;0,0,'All Data'!J64)</f>
        <v/>
      </c>
      <c r="R19" s="177" t="n"/>
      <c r="T19" s="285" t="inlineStr">
        <is>
          <t>LTO</t>
        </is>
      </c>
      <c r="U19" s="15" t="n"/>
      <c r="V19" s="7">
        <f>(C19*0.5)+I19+O19</f>
        <v/>
      </c>
      <c r="W19" s="298">
        <f>(D19*0.5)+J19+P19</f>
        <v/>
      </c>
      <c r="X19" s="400">
        <f>IF((V19-W19)&lt;0,0,(V19-W19))</f>
        <v/>
      </c>
      <c r="Y19" s="177" t="n"/>
    </row>
    <row r="20">
      <c r="A20" s="285" t="inlineStr">
        <is>
          <t>Egg Salad</t>
        </is>
      </c>
      <c r="B20" s="15" t="n"/>
      <c r="C20" s="298">
        <f>ROUNDUP(((($X$2*1.35)/100)*'All Data'!I25),0)</f>
        <v/>
      </c>
      <c r="D20" s="239" t="n"/>
      <c r="E20" s="298">
        <f>IF('All Data'!I44&lt;0,0,'All Data'!J25)</f>
        <v/>
      </c>
      <c r="G20" s="285" t="inlineStr">
        <is>
          <t>Egg Salad</t>
        </is>
      </c>
      <c r="H20" s="15" t="n"/>
      <c r="I20" s="307">
        <f>ROUNDUP(((($X$2*1.35)/100)*'All Data'!H44),0)</f>
        <v/>
      </c>
      <c r="J20" s="4" t="n"/>
      <c r="K20" s="3">
        <f>IF('All Data'!I44&lt;0,0,'All Data'!I44)</f>
        <v/>
      </c>
      <c r="M20" s="285" t="inlineStr">
        <is>
          <t>Egg Salad</t>
        </is>
      </c>
      <c r="N20" s="15" t="n"/>
      <c r="O20" s="3">
        <f>ROUNDUP(((($X$2*1.35)/100)*'All Data'!I65),0)</f>
        <v/>
      </c>
      <c r="P20" s="5" t="n"/>
      <c r="Q20" s="310">
        <f>IF('All Data'!J65&lt;0,0,'All Data'!J65)</f>
        <v/>
      </c>
      <c r="R20" s="177" t="n"/>
      <c r="T20" s="285" t="inlineStr">
        <is>
          <t>Egg Salad</t>
        </is>
      </c>
      <c r="U20" s="15" t="n"/>
      <c r="V20" s="7">
        <f>(C20*0.5)+I20+O20</f>
        <v/>
      </c>
      <c r="W20" s="298">
        <f>(D20*0.5)+J20+P20</f>
        <v/>
      </c>
      <c r="X20" s="400">
        <f>IF((V20-W20)&lt;0,0,(V20-W20))</f>
        <v/>
      </c>
      <c r="Y20" s="177" t="n"/>
    </row>
    <row r="21">
      <c r="A21" s="285" t="inlineStr">
        <is>
          <t>Pimento Cheese</t>
        </is>
      </c>
      <c r="B21" s="15" t="n"/>
      <c r="C21" s="298">
        <f>ROUNDUP(((($X$2*1.35)/100)*'All Data'!I26),0)</f>
        <v/>
      </c>
      <c r="D21" s="239" t="n"/>
      <c r="E21" s="298">
        <f>IF('All Data'!I45&lt;0,0,'All Data'!J26)</f>
        <v/>
      </c>
      <c r="G21" s="285" t="inlineStr">
        <is>
          <t>Pimento Cheese</t>
        </is>
      </c>
      <c r="H21" s="15" t="n"/>
      <c r="I21" s="307">
        <f>ROUNDUP(((($X$2*1.35)/100)*'All Data'!H45),0)</f>
        <v/>
      </c>
      <c r="J21" s="4" t="n"/>
      <c r="K21" s="3">
        <f>IF('All Data'!I45&lt;0,0,'All Data'!I45)</f>
        <v/>
      </c>
      <c r="M21" s="285" t="inlineStr">
        <is>
          <t>Pimento Cheese</t>
        </is>
      </c>
      <c r="N21" s="15" t="n"/>
      <c r="O21" s="3">
        <f>ROUNDUP(((($X$2*1.35)/100)*'All Data'!I66),0)</f>
        <v/>
      </c>
      <c r="P21" s="5" t="n"/>
      <c r="Q21" s="399">
        <f>IF('All Data'!J66&lt;0,0,'All Data'!J66)</f>
        <v/>
      </c>
      <c r="R21" s="177" t="n"/>
      <c r="T21" s="285" t="inlineStr">
        <is>
          <t>Pimento Cheese</t>
        </is>
      </c>
      <c r="U21" s="15" t="n"/>
      <c r="V21" s="7">
        <f>(C21*0.5)+I21+O21</f>
        <v/>
      </c>
      <c r="W21" s="298">
        <f>(D21*0.5)+J21+P21</f>
        <v/>
      </c>
      <c r="X21" s="400">
        <f>IF((V21-W21)&lt;0,0,(V21-W21))</f>
        <v/>
      </c>
      <c r="Y21" s="177" t="n"/>
    </row>
    <row r="22">
      <c r="A22" s="285" t="inlineStr">
        <is>
          <t>Spicy P. Cheese</t>
        </is>
      </c>
      <c r="B22" s="15" t="n"/>
      <c r="C22" s="298">
        <f>ROUNDUP(((($X$2*1.35)/100)*'All Data'!I27),0)</f>
        <v/>
      </c>
      <c r="D22" s="239" t="n"/>
      <c r="E22" s="298">
        <f>IF('All Data'!I46&lt;0,0,'All Data'!J27)</f>
        <v/>
      </c>
      <c r="G22" s="285" t="inlineStr">
        <is>
          <t>Spicy P. Cheese</t>
        </is>
      </c>
      <c r="H22" s="15" t="n"/>
      <c r="I22" s="307">
        <f>ROUNDUP(((($X$2*1.35)/100)*'All Data'!H46),0)</f>
        <v/>
      </c>
      <c r="J22" s="4" t="n"/>
      <c r="K22" s="3">
        <f>IF('All Data'!I46&lt;0,0,'All Data'!I46)</f>
        <v/>
      </c>
      <c r="M22" s="285" t="inlineStr">
        <is>
          <t>Spicy P. Cheese</t>
        </is>
      </c>
      <c r="N22" s="15" t="n"/>
      <c r="O22" s="3">
        <f>ROUNDUP(((($X$2*1.35)/100)*'All Data'!I67),0)</f>
        <v/>
      </c>
      <c r="P22" s="5" t="n"/>
      <c r="Q22" s="399">
        <f>IF('All Data'!J67&lt;0,0,'All Data'!J67)</f>
        <v/>
      </c>
      <c r="R22" s="177" t="n"/>
      <c r="T22" s="285" t="inlineStr">
        <is>
          <t>Spicy P. Cheese</t>
        </is>
      </c>
      <c r="U22" s="15" t="n"/>
      <c r="V22" s="7">
        <f>(C22*0.5)+I22+O22</f>
        <v/>
      </c>
      <c r="W22" s="298">
        <f>(D22*0.5)+J22+P22</f>
        <v/>
      </c>
      <c r="X22" s="400">
        <f>IF((V22-W22)&lt;0,0,(V22-W22))</f>
        <v/>
      </c>
      <c r="Y22" s="177" t="n"/>
    </row>
    <row r="23" ht="15.75" customHeight="1" thickBot="1"/>
    <row r="24" ht="15.75" customHeight="1" thickBot="1">
      <c r="T24" s="408" t="inlineStr">
        <is>
          <t>Total Classic Carol</t>
        </is>
      </c>
      <c r="V24" s="29" t="n"/>
      <c r="W24" s="455">
        <f>SUM(X6:Y19)-X14</f>
        <v/>
      </c>
      <c r="X24" s="180" t="n"/>
    </row>
    <row r="25" ht="15.75" customHeight="1" thickBot="1">
      <c r="G25" s="401" t="inlineStr">
        <is>
          <t>Sides</t>
        </is>
      </c>
      <c r="H25" s="424" t="n"/>
      <c r="I25" s="403" t="inlineStr">
        <is>
          <t>Daily Par (in 1/2 pans)</t>
        </is>
      </c>
      <c r="J25" s="68" t="n"/>
      <c r="K25" s="424" t="n"/>
      <c r="T25" s="75" t="n"/>
      <c r="U25" s="75" t="n"/>
      <c r="V25" s="456" t="n"/>
      <c r="W25" s="414" t="n"/>
      <c r="X25" s="415" t="n"/>
    </row>
    <row r="26">
      <c r="G26" s="307" t="inlineStr">
        <is>
          <t>Broccoli Salad</t>
        </is>
      </c>
      <c r="H26" s="177" t="n"/>
      <c r="I26" s="400">
        <f>((($X$2*1.35)/100)*'All Data'!J72)/'All Data'!K72</f>
        <v/>
      </c>
      <c r="J26" s="75" t="n"/>
      <c r="K26" s="177" t="n"/>
    </row>
    <row r="27">
      <c r="G27" s="285" t="inlineStr">
        <is>
          <t>Fresh Fruit</t>
        </is>
      </c>
      <c r="H27" s="15" t="n"/>
      <c r="I27" s="400">
        <f>((($X$2*1.35)/100)*'All Data'!J73)/'All Data'!K73</f>
        <v/>
      </c>
      <c r="J27" s="75" t="n"/>
      <c r="K27" s="177" t="n"/>
    </row>
    <row r="28">
      <c r="G28" s="285" t="inlineStr">
        <is>
          <t>Grape Salad</t>
        </is>
      </c>
      <c r="H28" s="15" t="n"/>
      <c r="I28" s="400">
        <f>((($X$2*1.35)/100)*'All Data'!J74)/'All Data'!K74</f>
        <v/>
      </c>
      <c r="J28" s="75" t="n"/>
      <c r="K28" s="177" t="n"/>
    </row>
    <row r="29">
      <c r="G29" s="285" t="inlineStr">
        <is>
          <t>Pasta Salad</t>
        </is>
      </c>
      <c r="H29" s="15" t="n"/>
      <c r="I29" s="400">
        <f>((($X$2*1.35)/100)*'All Data'!J75)/'All Data'!K75</f>
        <v/>
      </c>
      <c r="J29" s="75" t="n"/>
      <c r="K29" s="177" t="n"/>
    </row>
    <row r="31" ht="35.45" customHeight="1"/>
    <row r="32" ht="36" customHeight="1">
      <c r="G32" s="457" t="inlineStr">
        <is>
          <t xml:space="preserve">Proj. Sales </t>
        </is>
      </c>
      <c r="H32" s="457" t="inlineStr">
        <is>
          <t xml:space="preserve">Cut Broccoli Lexis </t>
        </is>
      </c>
      <c r="I32" s="117" t="inlineStr">
        <is>
          <t xml:space="preserve">Dry  </t>
        </is>
      </c>
      <c r="J32" s="117" t="inlineStr">
        <is>
          <t xml:space="preserve">Wet  </t>
        </is>
      </c>
      <c r="K32" s="457" t="inlineStr">
        <is>
          <t xml:space="preserve">Batches of GrapeSaladDressing </t>
        </is>
      </c>
      <c r="L32" s="457" t="inlineStr">
        <is>
          <t xml:space="preserve">Pimento Cheese Batches </t>
        </is>
      </c>
      <c r="M32" s="395" t="inlineStr">
        <is>
          <t xml:space="preserve">Pasta </t>
        </is>
      </c>
    </row>
    <row r="33" ht="54" customHeight="1">
      <c r="G33" s="458" t="n"/>
      <c r="H33" s="458" t="n"/>
      <c r="I33" s="111" t="inlineStr">
        <is>
          <t xml:space="preserve">Grape  </t>
        </is>
      </c>
      <c r="J33" s="111" t="inlineStr">
        <is>
          <t xml:space="preserve">Grape*  </t>
        </is>
      </c>
      <c r="K33" s="458" t="n"/>
      <c r="L33" s="458" t="n"/>
      <c r="M33" s="396" t="inlineStr">
        <is>
          <t xml:space="preserve">Salad Batches </t>
        </is>
      </c>
    </row>
    <row r="34" ht="36.75" customHeight="1" thickBot="1">
      <c r="G34" s="459" t="n"/>
      <c r="H34" s="459" t="n"/>
      <c r="I34" s="112" t="inlineStr">
        <is>
          <t xml:space="preserve">Lexis </t>
        </is>
      </c>
      <c r="J34" s="112" t="inlineStr">
        <is>
          <t xml:space="preserve">Lexis </t>
        </is>
      </c>
      <c r="K34" s="459" t="n"/>
      <c r="L34" s="459" t="n"/>
      <c r="M34" s="118" t="n"/>
    </row>
    <row r="35" ht="18" customHeight="1">
      <c r="G35" s="119" t="inlineStr">
        <is>
          <t xml:space="preserve">2000 </t>
        </is>
      </c>
      <c r="H35" s="113" t="inlineStr">
        <is>
          <t xml:space="preserve">2 </t>
        </is>
      </c>
      <c r="I35" s="113" t="inlineStr">
        <is>
          <t xml:space="preserve">1 </t>
        </is>
      </c>
      <c r="J35" s="113" t="inlineStr">
        <is>
          <t xml:space="preserve">.75 </t>
        </is>
      </c>
      <c r="K35" s="113" t="inlineStr">
        <is>
          <t xml:space="preserve">1 </t>
        </is>
      </c>
      <c r="L35" s="113" t="inlineStr">
        <is>
          <t xml:space="preserve">1 </t>
        </is>
      </c>
      <c r="M35" s="120" t="inlineStr">
        <is>
          <t xml:space="preserve">1 </t>
        </is>
      </c>
    </row>
    <row r="36" ht="18" customHeight="1">
      <c r="G36" s="121" t="inlineStr">
        <is>
          <t xml:space="preserve">3000 </t>
        </is>
      </c>
      <c r="H36" s="114" t="inlineStr">
        <is>
          <t xml:space="preserve">2 </t>
        </is>
      </c>
      <c r="I36" s="114" t="inlineStr">
        <is>
          <t xml:space="preserve">2 </t>
        </is>
      </c>
      <c r="J36" s="114" t="inlineStr">
        <is>
          <t xml:space="preserve">1 </t>
        </is>
      </c>
      <c r="K36" s="114" t="inlineStr">
        <is>
          <t xml:space="preserve">1 </t>
        </is>
      </c>
      <c r="L36" s="114" t="inlineStr">
        <is>
          <t xml:space="preserve">1 </t>
        </is>
      </c>
      <c r="M36" s="122" t="inlineStr">
        <is>
          <t xml:space="preserve">1 </t>
        </is>
      </c>
    </row>
    <row r="37" ht="18" customHeight="1">
      <c r="G37" s="123" t="inlineStr">
        <is>
          <t xml:space="preserve">4000 </t>
        </is>
      </c>
      <c r="H37" s="115" t="inlineStr">
        <is>
          <t xml:space="preserve">3 </t>
        </is>
      </c>
      <c r="I37" s="115" t="inlineStr">
        <is>
          <t xml:space="preserve">2 </t>
        </is>
      </c>
      <c r="J37" s="115" t="inlineStr">
        <is>
          <t xml:space="preserve">1.5 </t>
        </is>
      </c>
      <c r="K37" s="115" t="inlineStr">
        <is>
          <t xml:space="preserve">1 </t>
        </is>
      </c>
      <c r="L37" s="115" t="inlineStr">
        <is>
          <t xml:space="preserve">2 </t>
        </is>
      </c>
      <c r="M37" s="124" t="inlineStr">
        <is>
          <t xml:space="preserve">1 </t>
        </is>
      </c>
    </row>
    <row r="38" ht="18" customHeight="1">
      <c r="G38" s="121" t="inlineStr">
        <is>
          <t xml:space="preserve">5000 </t>
        </is>
      </c>
      <c r="H38" s="114" t="inlineStr">
        <is>
          <t xml:space="preserve">4 </t>
        </is>
      </c>
      <c r="I38" s="114" t="inlineStr">
        <is>
          <t xml:space="preserve">3 </t>
        </is>
      </c>
      <c r="J38" s="114" t="inlineStr">
        <is>
          <t xml:space="preserve">1.5 </t>
        </is>
      </c>
      <c r="K38" s="114" t="inlineStr">
        <is>
          <t xml:space="preserve">2 </t>
        </is>
      </c>
      <c r="L38" s="114" t="inlineStr">
        <is>
          <t xml:space="preserve">2 </t>
        </is>
      </c>
      <c r="M38" s="122" t="inlineStr">
        <is>
          <t xml:space="preserve">1 </t>
        </is>
      </c>
    </row>
    <row r="39" ht="18" customHeight="1">
      <c r="G39" s="125" t="inlineStr">
        <is>
          <t xml:space="preserve">6000 </t>
        </is>
      </c>
      <c r="H39" s="116" t="inlineStr">
        <is>
          <t xml:space="preserve">4 </t>
        </is>
      </c>
      <c r="I39" s="116" t="inlineStr">
        <is>
          <t xml:space="preserve">3 </t>
        </is>
      </c>
      <c r="J39" s="116" t="inlineStr">
        <is>
          <t xml:space="preserve">2 </t>
        </is>
      </c>
      <c r="K39" s="116" t="inlineStr">
        <is>
          <t xml:space="preserve">2 </t>
        </is>
      </c>
      <c r="L39" s="116" t="inlineStr">
        <is>
          <t xml:space="preserve">2 </t>
        </is>
      </c>
      <c r="M39" s="126" t="inlineStr">
        <is>
          <t xml:space="preserve">1 </t>
        </is>
      </c>
    </row>
    <row r="40" ht="18" customHeight="1">
      <c r="G40" s="121" t="inlineStr">
        <is>
          <t xml:space="preserve">7000 </t>
        </is>
      </c>
      <c r="H40" s="114" t="inlineStr">
        <is>
          <t xml:space="preserve">5 </t>
        </is>
      </c>
      <c r="I40" s="114" t="inlineStr">
        <is>
          <t xml:space="preserve">4 </t>
        </is>
      </c>
      <c r="J40" s="114" t="inlineStr">
        <is>
          <t xml:space="preserve">2 </t>
        </is>
      </c>
      <c r="K40" s="114" t="inlineStr">
        <is>
          <t xml:space="preserve">2 </t>
        </is>
      </c>
      <c r="L40" s="114" t="inlineStr">
        <is>
          <t xml:space="preserve">2 </t>
        </is>
      </c>
      <c r="M40" s="122" t="inlineStr">
        <is>
          <t xml:space="preserve">2 </t>
        </is>
      </c>
    </row>
    <row r="41" ht="18" customHeight="1">
      <c r="G41" s="125" t="inlineStr">
        <is>
          <t xml:space="preserve">8000 </t>
        </is>
      </c>
      <c r="H41" s="116" t="inlineStr">
        <is>
          <t xml:space="preserve">6 </t>
        </is>
      </c>
      <c r="I41" s="116" t="inlineStr">
        <is>
          <t xml:space="preserve">5 </t>
        </is>
      </c>
      <c r="J41" s="116" t="inlineStr">
        <is>
          <t xml:space="preserve">2.5 </t>
        </is>
      </c>
      <c r="K41" s="116" t="inlineStr">
        <is>
          <t xml:space="preserve">3 </t>
        </is>
      </c>
      <c r="L41" s="116" t="inlineStr">
        <is>
          <t xml:space="preserve">3 </t>
        </is>
      </c>
      <c r="M41" s="126" t="inlineStr">
        <is>
          <t xml:space="preserve">2 </t>
        </is>
      </c>
    </row>
    <row r="42" ht="18" customHeight="1">
      <c r="G42" s="121" t="inlineStr">
        <is>
          <t xml:space="preserve">9000 </t>
        </is>
      </c>
      <c r="H42" s="114" t="inlineStr">
        <is>
          <t xml:space="preserve">6 </t>
        </is>
      </c>
      <c r="I42" s="114" t="inlineStr">
        <is>
          <t xml:space="preserve">5 </t>
        </is>
      </c>
      <c r="J42" s="114" t="inlineStr">
        <is>
          <t xml:space="preserve">3 </t>
        </is>
      </c>
      <c r="K42" s="114" t="inlineStr">
        <is>
          <t xml:space="preserve">3 </t>
        </is>
      </c>
      <c r="L42" s="114" t="inlineStr">
        <is>
          <t xml:space="preserve">3 </t>
        </is>
      </c>
      <c r="M42" s="122" t="inlineStr">
        <is>
          <t xml:space="preserve">2 </t>
        </is>
      </c>
    </row>
    <row r="43" ht="36" customHeight="1">
      <c r="G43" s="125" t="inlineStr">
        <is>
          <t xml:space="preserve">10,000 </t>
        </is>
      </c>
      <c r="H43" s="116" t="inlineStr">
        <is>
          <t xml:space="preserve">7 </t>
        </is>
      </c>
      <c r="I43" s="116" t="inlineStr">
        <is>
          <t xml:space="preserve">6 </t>
        </is>
      </c>
      <c r="J43" s="116" t="inlineStr">
        <is>
          <t xml:space="preserve">3 </t>
        </is>
      </c>
      <c r="K43" s="116" t="inlineStr">
        <is>
          <t xml:space="preserve">3 </t>
        </is>
      </c>
      <c r="L43" s="116" t="inlineStr">
        <is>
          <t xml:space="preserve">3 </t>
        </is>
      </c>
      <c r="M43" s="126" t="inlineStr">
        <is>
          <t xml:space="preserve">2 </t>
        </is>
      </c>
    </row>
    <row r="44" ht="36" customHeight="1">
      <c r="G44" s="127" t="inlineStr">
        <is>
          <t xml:space="preserve">11,000 </t>
        </is>
      </c>
      <c r="H44" s="128" t="inlineStr">
        <is>
          <t xml:space="preserve">8 </t>
        </is>
      </c>
      <c r="I44" s="128" t="inlineStr">
        <is>
          <t xml:space="preserve">6 </t>
        </is>
      </c>
      <c r="J44" s="128" t="inlineStr">
        <is>
          <t xml:space="preserve">3.5 </t>
        </is>
      </c>
      <c r="K44" s="128" t="inlineStr">
        <is>
          <t xml:space="preserve">3 </t>
        </is>
      </c>
      <c r="L44" s="128" t="inlineStr">
        <is>
          <t xml:space="preserve">3 </t>
        </is>
      </c>
      <c r="M44" s="129" t="inlineStr">
        <is>
          <t xml:space="preserve">2 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VzbpjAGKdP1hwPiV40J4fg==" formatRows="1" sort="1" spinCount="100000" hashValue="L9fAIbtx7IIf2B5WXii1n+O9+fJk2I7UB1xuR7Yd9Ro3pUVwcJDfVW56XnxD+YmNR4kZGtsWKaCLyBrXJupjzQ=="/>
  <mergeCells count="132">
    <mergeCell ref="G21:H21"/>
    <mergeCell ref="Q13:R13"/>
    <mergeCell ref="Q7:R7"/>
    <mergeCell ref="A15:B15"/>
    <mergeCell ref="Q21:R21"/>
    <mergeCell ref="X11:Y11"/>
    <mergeCell ref="G32:G34"/>
    <mergeCell ref="T24:V25"/>
    <mergeCell ref="A7:B7"/>
    <mergeCell ref="M10:N10"/>
    <mergeCell ref="G18:H18"/>
    <mergeCell ref="M16:N16"/>
    <mergeCell ref="T12:U12"/>
    <mergeCell ref="X6:Y6"/>
    <mergeCell ref="X20:Y20"/>
    <mergeCell ref="X15:Y15"/>
    <mergeCell ref="M4:R4"/>
    <mergeCell ref="M18:N18"/>
    <mergeCell ref="Q9:R9"/>
    <mergeCell ref="A17:B17"/>
    <mergeCell ref="M8:N8"/>
    <mergeCell ref="A22:B22"/>
    <mergeCell ref="M17:N17"/>
    <mergeCell ref="G20:H20"/>
    <mergeCell ref="Q17:R17"/>
    <mergeCell ref="T7:U7"/>
    <mergeCell ref="Q11:R11"/>
    <mergeCell ref="A19:B19"/>
    <mergeCell ref="X1:Y1"/>
    <mergeCell ref="M19:N19"/>
    <mergeCell ref="G22:H22"/>
    <mergeCell ref="A9:B9"/>
    <mergeCell ref="H32:H34"/>
    <mergeCell ref="G12:H12"/>
    <mergeCell ref="I28:K28"/>
    <mergeCell ref="Q12:R12"/>
    <mergeCell ref="A11:B11"/>
    <mergeCell ref="X8:Y8"/>
    <mergeCell ref="X17:Y17"/>
    <mergeCell ref="Q1:W2"/>
    <mergeCell ref="T10:U10"/>
    <mergeCell ref="G7:H7"/>
    <mergeCell ref="X19:Y19"/>
    <mergeCell ref="T9:U9"/>
    <mergeCell ref="X3:Y3"/>
    <mergeCell ref="M13:N13"/>
    <mergeCell ref="M7:N7"/>
    <mergeCell ref="M21:N21"/>
    <mergeCell ref="Q15:R15"/>
    <mergeCell ref="T11:U11"/>
    <mergeCell ref="X5:Y5"/>
    <mergeCell ref="X14:Y14"/>
    <mergeCell ref="T22:U22"/>
    <mergeCell ref="A8:B8"/>
    <mergeCell ref="G26:H26"/>
    <mergeCell ref="G4:K4"/>
    <mergeCell ref="A4:E4"/>
    <mergeCell ref="G16:H16"/>
    <mergeCell ref="I27:K27"/>
    <mergeCell ref="G25:H25"/>
    <mergeCell ref="A10:B10"/>
    <mergeCell ref="G9:H9"/>
    <mergeCell ref="I25:K25"/>
    <mergeCell ref="X21:Y21"/>
    <mergeCell ref="T15:U15"/>
    <mergeCell ref="G11:H11"/>
    <mergeCell ref="M9:N9"/>
    <mergeCell ref="M5:N5"/>
    <mergeCell ref="X13:Y13"/>
    <mergeCell ref="X7:Y7"/>
    <mergeCell ref="X16:Y16"/>
    <mergeCell ref="M11:N11"/>
    <mergeCell ref="Y2:Z2"/>
    <mergeCell ref="Q20:R20"/>
    <mergeCell ref="Q5:R5"/>
    <mergeCell ref="Q14:R14"/>
    <mergeCell ref="G13:H13"/>
    <mergeCell ref="X18:Y18"/>
    <mergeCell ref="I29:K29"/>
    <mergeCell ref="A12:B12"/>
    <mergeCell ref="A21:B21"/>
    <mergeCell ref="M15:N15"/>
    <mergeCell ref="M12:N12"/>
    <mergeCell ref="G15:H15"/>
    <mergeCell ref="Q6:R6"/>
    <mergeCell ref="A5:B5"/>
    <mergeCell ref="A14:B14"/>
    <mergeCell ref="W24:X25"/>
    <mergeCell ref="T8:U8"/>
    <mergeCell ref="T17:U17"/>
    <mergeCell ref="K32:K34"/>
    <mergeCell ref="T6:U6"/>
    <mergeCell ref="T19:U19"/>
    <mergeCell ref="I26:K26"/>
    <mergeCell ref="X22:Y22"/>
    <mergeCell ref="Q16:R16"/>
    <mergeCell ref="X12:Y12"/>
    <mergeCell ref="T5:U5"/>
    <mergeCell ref="T20:U20"/>
    <mergeCell ref="G27:H27"/>
    <mergeCell ref="T14:U14"/>
    <mergeCell ref="Q18:R18"/>
    <mergeCell ref="G8:H8"/>
    <mergeCell ref="A6:B6"/>
    <mergeCell ref="G17:H17"/>
    <mergeCell ref="Q8:R8"/>
    <mergeCell ref="A16:B16"/>
    <mergeCell ref="M20:N20"/>
    <mergeCell ref="G10:H10"/>
    <mergeCell ref="G19:H19"/>
    <mergeCell ref="Q10:R10"/>
    <mergeCell ref="G28:H28"/>
    <mergeCell ref="Q19:R19"/>
    <mergeCell ref="G6:H6"/>
    <mergeCell ref="A18:B18"/>
    <mergeCell ref="M22:N22"/>
    <mergeCell ref="T21:U21"/>
    <mergeCell ref="L32:L34"/>
    <mergeCell ref="M6:N6"/>
    <mergeCell ref="G5:H5"/>
    <mergeCell ref="Q22:R22"/>
    <mergeCell ref="G14:H14"/>
    <mergeCell ref="T13:U13"/>
    <mergeCell ref="G29:H29"/>
    <mergeCell ref="A20:B20"/>
    <mergeCell ref="T16:U16"/>
    <mergeCell ref="X10:Y10"/>
    <mergeCell ref="M14:N14"/>
    <mergeCell ref="A13:B13"/>
    <mergeCell ref="T4:Y4"/>
    <mergeCell ref="T18:U18"/>
    <mergeCell ref="X9:Y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Lauren Long</dc:creator>
  <dcterms:created xsi:type="dcterms:W3CDTF">2016-05-17T14:13:10Z</dcterms:created>
  <dcterms:modified xsi:type="dcterms:W3CDTF">2026-01-09T23:21:56Z</dcterms:modified>
  <cp:lastModifiedBy>Bryan Rosewell</cp:lastModifiedBy>
  <cp:lastPrinted>2025-06-20T20:10:38Z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0x010100DB16F0FE09FED14CAC745B893B698B91</vt:lpwstr>
  </property>
</Properties>
</file>